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codeName="ThisWorkbook" autoCompressPictures="0"/>
  <xr:revisionPtr revIDLastSave="0" documentId="13_ncr:1_{F1BD93B9-9DBE-4ECF-837D-54FE22BC101A}" xr6:coauthVersionLast="47" xr6:coauthVersionMax="47" xr10:uidLastSave="{00000000-0000-0000-0000-000000000000}"/>
  <workbookProtection lockStructure="1"/>
  <bookViews>
    <workbookView xWindow="-108" yWindow="-108" windowWidth="23256" windowHeight="12456" tabRatio="741" xr2:uid="{00000000-000D-0000-FFFF-FFFF00000000}"/>
  </bookViews>
  <sheets>
    <sheet name="Jan 26" sheetId="28" r:id="rId1"/>
    <sheet name="Feb 26" sheetId="52" r:id="rId2"/>
    <sheet name="Mar 26" sheetId="51" r:id="rId3"/>
    <sheet name="April 26" sheetId="41" r:id="rId4"/>
    <sheet name="May 26" sheetId="42" r:id="rId5"/>
    <sheet name="June 26" sheetId="43" r:id="rId6"/>
    <sheet name="July 26" sheetId="44" r:id="rId7"/>
    <sheet name="Aug 26" sheetId="45" r:id="rId8"/>
    <sheet name="Sep 26" sheetId="46" r:id="rId9"/>
    <sheet name="Oct 26" sheetId="47" r:id="rId10"/>
    <sheet name="Nov 26" sheetId="48" r:id="rId11"/>
    <sheet name="Dec 26" sheetId="49" r:id="rId12"/>
  </sheets>
  <definedNames>
    <definedName name="AprSun1">DATE(CalendarYear,4,1)-WEEKDAY(DATE(CalendarYear,4,1))+1</definedName>
    <definedName name="AugSun1">DATE(CalendarYear,8,1)-WEEKDAY(DATE(CalendarYear,8,1))+1</definedName>
    <definedName name="CalendarYear">'Jan 26'!$D$5</definedName>
    <definedName name="DecSun1">DATE(CalendarYear,12,1)-WEEKDAY(DATE(CalendarYear,12,1))+1</definedName>
    <definedName name="FebSun1">DATE(CalendarYear,2,1)-WEEKDAY(DATE(CalendarYear,2,1))+1</definedName>
    <definedName name="JanSun1">DATE(CalendarYear,1,1)-WEEKDAY(DATE(CalendarYear,1,1))+1</definedName>
    <definedName name="JulSun1">DATE(CalendarYear,7,1)-WEEKDAY(DATE(CalendarYear,7,1))+1</definedName>
    <definedName name="JunSun1">DATE(CalendarYear,6,1)-WEEKDAY(DATE(CalendarYear,6,1))+1</definedName>
    <definedName name="MarSun1">DATE(CalendarYear,3,1)-WEEKDAY(DATE(CalendarYear,3,1))+1</definedName>
    <definedName name="MaySun1">DATE(CalendarYear,5,1)-WEEKDAY(DATE(CalendarYear,5,1))+1</definedName>
    <definedName name="NovSun1">DATE(CalendarYear,11,1)-WEEKDAY(DATE(CalendarYear,11,1))+1</definedName>
    <definedName name="OctSun1">DATE(CalendarYear,10,1)-WEEKDAY(DATE(CalendarYear,10,1))+1</definedName>
    <definedName name="SepSun1">DATE(CalendarYear,9,1)-WEEKDAY(DATE(CalendarYear,9,1))+1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" i="28" l="1"/>
  <c r="H8" i="52" l="1"/>
  <c r="H57" i="52" s="1"/>
  <c r="E9" i="52"/>
  <c r="E71" i="52" s="1"/>
  <c r="I6" i="52"/>
  <c r="I29" i="52" s="1"/>
  <c r="H7" i="52"/>
  <c r="H43" i="52" s="1"/>
  <c r="F9" i="52"/>
  <c r="F71" i="52" s="1"/>
  <c r="J6" i="52"/>
  <c r="J29" i="52" s="1"/>
  <c r="G7" i="52"/>
  <c r="G43" i="52" s="1"/>
  <c r="I7" i="52"/>
  <c r="I43" i="52" s="1"/>
  <c r="D5" i="52"/>
  <c r="G9" i="52"/>
  <c r="G71" i="52" s="1"/>
  <c r="E5" i="52"/>
  <c r="H9" i="52"/>
  <c r="H71" i="52" s="1"/>
  <c r="G6" i="52"/>
  <c r="G29" i="52" s="1"/>
  <c r="I9" i="52"/>
  <c r="I71" i="52" s="1"/>
  <c r="H6" i="52"/>
  <c r="H29" i="52" s="1"/>
  <c r="J9" i="52"/>
  <c r="J71" i="52" s="1"/>
  <c r="K5" i="52"/>
  <c r="K15" i="52" s="1"/>
  <c r="E8" i="52"/>
  <c r="E57" i="52" s="1"/>
  <c r="F10" i="52"/>
  <c r="I5" i="52"/>
  <c r="J7" i="52"/>
  <c r="J43" i="52" s="1"/>
  <c r="K9" i="52"/>
  <c r="J5" i="52"/>
  <c r="K7" i="52"/>
  <c r="K43" i="52" s="1"/>
  <c r="E10" i="52"/>
  <c r="E6" i="52"/>
  <c r="E29" i="52" s="1"/>
  <c r="F8" i="52"/>
  <c r="F57" i="52" s="1"/>
  <c r="J10" i="52"/>
  <c r="F6" i="52"/>
  <c r="F29" i="52" s="1"/>
  <c r="G8" i="52"/>
  <c r="G57" i="52" s="1"/>
  <c r="K10" i="52"/>
  <c r="F5" i="52"/>
  <c r="K6" i="52"/>
  <c r="K29" i="52" s="1"/>
  <c r="I8" i="52"/>
  <c r="I57" i="52" s="1"/>
  <c r="G10" i="52"/>
  <c r="G5" i="52"/>
  <c r="E7" i="52"/>
  <c r="E43" i="52" s="1"/>
  <c r="J8" i="52"/>
  <c r="J57" i="52" s="1"/>
  <c r="H10" i="52"/>
  <c r="H5" i="52"/>
  <c r="F7" i="52"/>
  <c r="F43" i="52" s="1"/>
  <c r="K8" i="52"/>
  <c r="K57" i="52" s="1"/>
  <c r="I10" i="52"/>
  <c r="E6" i="51"/>
  <c r="E29" i="51" s="1"/>
  <c r="I7" i="51"/>
  <c r="I43" i="51" s="1"/>
  <c r="K5" i="51"/>
  <c r="K15" i="51" s="1"/>
  <c r="G9" i="51"/>
  <c r="G71" i="51" s="1"/>
  <c r="J7" i="51"/>
  <c r="J43" i="51" s="1"/>
  <c r="H9" i="51"/>
  <c r="H71" i="51" s="1"/>
  <c r="G6" i="51"/>
  <c r="G29" i="51" s="1"/>
  <c r="J9" i="51"/>
  <c r="J71" i="51" s="1"/>
  <c r="F8" i="51"/>
  <c r="F57" i="51" s="1"/>
  <c r="D5" i="51"/>
  <c r="I6" i="51"/>
  <c r="I29" i="51" s="1"/>
  <c r="G8" i="51"/>
  <c r="G57" i="51" s="1"/>
  <c r="E10" i="51"/>
  <c r="E85" i="51" s="1"/>
  <c r="E5" i="51"/>
  <c r="J6" i="51"/>
  <c r="J29" i="51" s="1"/>
  <c r="H8" i="51"/>
  <c r="H57" i="51" s="1"/>
  <c r="F10" i="51"/>
  <c r="H6" i="51"/>
  <c r="H29" i="51" s="1"/>
  <c r="K9" i="51"/>
  <c r="K71" i="51" s="1"/>
  <c r="F5" i="51"/>
  <c r="K6" i="51"/>
  <c r="K29" i="51" s="1"/>
  <c r="I8" i="51"/>
  <c r="I57" i="51" s="1"/>
  <c r="G10" i="51"/>
  <c r="G5" i="51"/>
  <c r="E7" i="51"/>
  <c r="E43" i="51" s="1"/>
  <c r="J8" i="51"/>
  <c r="J57" i="51" s="1"/>
  <c r="H10" i="51"/>
  <c r="H5" i="51"/>
  <c r="F7" i="51"/>
  <c r="F43" i="51" s="1"/>
  <c r="K8" i="51"/>
  <c r="K57" i="51" s="1"/>
  <c r="I10" i="51"/>
  <c r="I5" i="51"/>
  <c r="G7" i="51"/>
  <c r="G43" i="51" s="1"/>
  <c r="E9" i="51"/>
  <c r="E71" i="51" s="1"/>
  <c r="J10" i="51"/>
  <c r="F6" i="51"/>
  <c r="F29" i="51" s="1"/>
  <c r="K7" i="51"/>
  <c r="K43" i="51" s="1"/>
  <c r="I9" i="51"/>
  <c r="I71" i="51" s="1"/>
  <c r="E8" i="51"/>
  <c r="E57" i="51" s="1"/>
  <c r="J5" i="51"/>
  <c r="H7" i="51"/>
  <c r="H43" i="51" s="1"/>
  <c r="F9" i="51"/>
  <c r="F71" i="51" s="1"/>
  <c r="K10" i="51"/>
  <c r="K5" i="49"/>
  <c r="K15" i="49" s="1"/>
  <c r="I7" i="49"/>
  <c r="I43" i="49" s="1"/>
  <c r="G9" i="49"/>
  <c r="G71" i="49" s="1"/>
  <c r="H9" i="49"/>
  <c r="H71" i="49" s="1"/>
  <c r="E6" i="49"/>
  <c r="E29" i="49" s="1"/>
  <c r="J7" i="49"/>
  <c r="J43" i="49" s="1"/>
  <c r="F6" i="49"/>
  <c r="F29" i="49" s="1"/>
  <c r="K7" i="49"/>
  <c r="K43" i="49" s="1"/>
  <c r="I9" i="49"/>
  <c r="G6" i="49"/>
  <c r="G29" i="49" s="1"/>
  <c r="E8" i="49"/>
  <c r="E57" i="49" s="1"/>
  <c r="J9" i="49"/>
  <c r="H6" i="49"/>
  <c r="H29" i="49" s="1"/>
  <c r="F8" i="49"/>
  <c r="F57" i="49" s="1"/>
  <c r="K9" i="49"/>
  <c r="D5" i="49"/>
  <c r="I6" i="49"/>
  <c r="I29" i="49" s="1"/>
  <c r="G8" i="49"/>
  <c r="G57" i="49" s="1"/>
  <c r="E10" i="49"/>
  <c r="E5" i="49"/>
  <c r="J6" i="49"/>
  <c r="J29" i="49" s="1"/>
  <c r="H8" i="49"/>
  <c r="H57" i="49" s="1"/>
  <c r="F10" i="49"/>
  <c r="F5" i="49"/>
  <c r="F15" i="49" s="1"/>
  <c r="K6" i="49"/>
  <c r="K29" i="49" s="1"/>
  <c r="I8" i="49"/>
  <c r="I57" i="49" s="1"/>
  <c r="G10" i="49"/>
  <c r="G5" i="49"/>
  <c r="G15" i="49" s="1"/>
  <c r="E7" i="49"/>
  <c r="E43" i="49" s="1"/>
  <c r="J8" i="49"/>
  <c r="J57" i="49" s="1"/>
  <c r="H10" i="49"/>
  <c r="H5" i="49"/>
  <c r="H15" i="49" s="1"/>
  <c r="F7" i="49"/>
  <c r="F43" i="49" s="1"/>
  <c r="K8" i="49"/>
  <c r="K57" i="49" s="1"/>
  <c r="I10" i="49"/>
  <c r="I5" i="49"/>
  <c r="I15" i="49" s="1"/>
  <c r="G7" i="49"/>
  <c r="G43" i="49" s="1"/>
  <c r="E9" i="49"/>
  <c r="E71" i="49" s="1"/>
  <c r="J10" i="49"/>
  <c r="J5" i="49"/>
  <c r="J15" i="49" s="1"/>
  <c r="H7" i="49"/>
  <c r="H43" i="49" s="1"/>
  <c r="F9" i="49"/>
  <c r="F71" i="49" s="1"/>
  <c r="K10" i="49"/>
  <c r="K5" i="48"/>
  <c r="K15" i="48" s="1"/>
  <c r="E6" i="48"/>
  <c r="E29" i="48" s="1"/>
  <c r="I7" i="48"/>
  <c r="I43" i="48" s="1"/>
  <c r="J7" i="48"/>
  <c r="J43" i="48" s="1"/>
  <c r="G9" i="48"/>
  <c r="G71" i="48" s="1"/>
  <c r="H9" i="48"/>
  <c r="H71" i="48" s="1"/>
  <c r="F6" i="48"/>
  <c r="F29" i="48" s="1"/>
  <c r="K7" i="48"/>
  <c r="K43" i="48" s="1"/>
  <c r="I9" i="48"/>
  <c r="I71" i="48" s="1"/>
  <c r="G6" i="48"/>
  <c r="G29" i="48" s="1"/>
  <c r="E8" i="48"/>
  <c r="E57" i="48" s="1"/>
  <c r="J9" i="48"/>
  <c r="J71" i="48" s="1"/>
  <c r="H6" i="48"/>
  <c r="H29" i="48" s="1"/>
  <c r="F8" i="48"/>
  <c r="F57" i="48" s="1"/>
  <c r="K9" i="48"/>
  <c r="K71" i="48" s="1"/>
  <c r="D5" i="48"/>
  <c r="I6" i="48"/>
  <c r="I29" i="48" s="1"/>
  <c r="G8" i="48"/>
  <c r="G57" i="48" s="1"/>
  <c r="E10" i="48"/>
  <c r="E5" i="48"/>
  <c r="J6" i="48"/>
  <c r="J29" i="48" s="1"/>
  <c r="H8" i="48"/>
  <c r="H57" i="48" s="1"/>
  <c r="F10" i="48"/>
  <c r="G10" i="48"/>
  <c r="F5" i="48"/>
  <c r="K6" i="48"/>
  <c r="K29" i="48" s="1"/>
  <c r="I8" i="48"/>
  <c r="I57" i="48" s="1"/>
  <c r="G5" i="48"/>
  <c r="E7" i="48"/>
  <c r="E43" i="48" s="1"/>
  <c r="J8" i="48"/>
  <c r="J57" i="48" s="1"/>
  <c r="H10" i="48"/>
  <c r="H5" i="48"/>
  <c r="H15" i="48" s="1"/>
  <c r="F7" i="48"/>
  <c r="F43" i="48" s="1"/>
  <c r="K8" i="48"/>
  <c r="K57" i="48" s="1"/>
  <c r="I10" i="48"/>
  <c r="I5" i="48"/>
  <c r="I15" i="48" s="1"/>
  <c r="G7" i="48"/>
  <c r="G43" i="48" s="1"/>
  <c r="E9" i="48"/>
  <c r="E71" i="48" s="1"/>
  <c r="J10" i="48"/>
  <c r="J5" i="48"/>
  <c r="J15" i="48" s="1"/>
  <c r="H7" i="48"/>
  <c r="H43" i="48" s="1"/>
  <c r="F9" i="48"/>
  <c r="F71" i="48" s="1"/>
  <c r="K10" i="48"/>
  <c r="K5" i="47"/>
  <c r="K15" i="47" s="1"/>
  <c r="E6" i="47"/>
  <c r="E29" i="47" s="1"/>
  <c r="I7" i="47"/>
  <c r="I43" i="47" s="1"/>
  <c r="J7" i="47"/>
  <c r="J43" i="47" s="1"/>
  <c r="G9" i="47"/>
  <c r="G71" i="47" s="1"/>
  <c r="H9" i="47"/>
  <c r="H71" i="47" s="1"/>
  <c r="F6" i="47"/>
  <c r="F29" i="47" s="1"/>
  <c r="K7" i="47"/>
  <c r="K43" i="47" s="1"/>
  <c r="I9" i="47"/>
  <c r="I71" i="47" s="1"/>
  <c r="G6" i="47"/>
  <c r="G29" i="47" s="1"/>
  <c r="E8" i="47"/>
  <c r="E57" i="47" s="1"/>
  <c r="J9" i="47"/>
  <c r="J71" i="47" s="1"/>
  <c r="H6" i="47"/>
  <c r="H29" i="47" s="1"/>
  <c r="F8" i="47"/>
  <c r="F57" i="47" s="1"/>
  <c r="K9" i="47"/>
  <c r="D5" i="47"/>
  <c r="I6" i="47"/>
  <c r="I29" i="47" s="1"/>
  <c r="G8" i="47"/>
  <c r="G57" i="47" s="1"/>
  <c r="E10" i="47"/>
  <c r="E5" i="47"/>
  <c r="J6" i="47"/>
  <c r="J29" i="47" s="1"/>
  <c r="H8" i="47"/>
  <c r="H57" i="47" s="1"/>
  <c r="F10" i="47"/>
  <c r="F5" i="47"/>
  <c r="K6" i="47"/>
  <c r="K29" i="47" s="1"/>
  <c r="I8" i="47"/>
  <c r="I57" i="47" s="1"/>
  <c r="G10" i="47"/>
  <c r="G5" i="47"/>
  <c r="E7" i="47"/>
  <c r="E43" i="47" s="1"/>
  <c r="J8" i="47"/>
  <c r="J57" i="47" s="1"/>
  <c r="H10" i="47"/>
  <c r="H5" i="47"/>
  <c r="H15" i="47" s="1"/>
  <c r="F7" i="47"/>
  <c r="F43" i="47" s="1"/>
  <c r="K8" i="47"/>
  <c r="K57" i="47" s="1"/>
  <c r="I10" i="47"/>
  <c r="I5" i="47"/>
  <c r="I15" i="47" s="1"/>
  <c r="G7" i="47"/>
  <c r="G43" i="47" s="1"/>
  <c r="E9" i="47"/>
  <c r="E71" i="47" s="1"/>
  <c r="J10" i="47"/>
  <c r="J5" i="47"/>
  <c r="J15" i="47" s="1"/>
  <c r="H7" i="47"/>
  <c r="H43" i="47" s="1"/>
  <c r="F9" i="47"/>
  <c r="F71" i="47" s="1"/>
  <c r="K10" i="47"/>
  <c r="E6" i="46"/>
  <c r="E29" i="46" s="1"/>
  <c r="K5" i="46"/>
  <c r="K15" i="46" s="1"/>
  <c r="I7" i="46"/>
  <c r="I43" i="46" s="1"/>
  <c r="J7" i="46"/>
  <c r="J43" i="46" s="1"/>
  <c r="G9" i="46"/>
  <c r="G71" i="46" s="1"/>
  <c r="H9" i="46"/>
  <c r="F6" i="46"/>
  <c r="F29" i="46" s="1"/>
  <c r="K7" i="46"/>
  <c r="K43" i="46" s="1"/>
  <c r="I9" i="46"/>
  <c r="G6" i="46"/>
  <c r="G29" i="46" s="1"/>
  <c r="E8" i="46"/>
  <c r="E57" i="46" s="1"/>
  <c r="J9" i="46"/>
  <c r="H6" i="46"/>
  <c r="H29" i="46" s="1"/>
  <c r="F8" i="46"/>
  <c r="F57" i="46" s="1"/>
  <c r="K9" i="46"/>
  <c r="D5" i="46"/>
  <c r="I6" i="46"/>
  <c r="I29" i="46" s="1"/>
  <c r="G8" i="46"/>
  <c r="G57" i="46" s="1"/>
  <c r="E10" i="46"/>
  <c r="E5" i="46"/>
  <c r="J6" i="46"/>
  <c r="J29" i="46" s="1"/>
  <c r="H8" i="46"/>
  <c r="H57" i="46" s="1"/>
  <c r="F10" i="46"/>
  <c r="F5" i="46"/>
  <c r="F15" i="46" s="1"/>
  <c r="K6" i="46"/>
  <c r="K29" i="46" s="1"/>
  <c r="I8" i="46"/>
  <c r="I57" i="46" s="1"/>
  <c r="G10" i="46"/>
  <c r="G5" i="46"/>
  <c r="G15" i="46" s="1"/>
  <c r="E7" i="46"/>
  <c r="E43" i="46" s="1"/>
  <c r="J8" i="46"/>
  <c r="J57" i="46" s="1"/>
  <c r="H10" i="46"/>
  <c r="H5" i="46"/>
  <c r="H15" i="46" s="1"/>
  <c r="F7" i="46"/>
  <c r="F43" i="46" s="1"/>
  <c r="K8" i="46"/>
  <c r="K57" i="46" s="1"/>
  <c r="I10" i="46"/>
  <c r="I5" i="46"/>
  <c r="I15" i="46" s="1"/>
  <c r="G7" i="46"/>
  <c r="G43" i="46" s="1"/>
  <c r="E9" i="46"/>
  <c r="E71" i="46" s="1"/>
  <c r="J10" i="46"/>
  <c r="J5" i="46"/>
  <c r="J15" i="46" s="1"/>
  <c r="H7" i="46"/>
  <c r="H43" i="46" s="1"/>
  <c r="F9" i="46"/>
  <c r="F71" i="46" s="1"/>
  <c r="K10" i="46"/>
  <c r="K5" i="45"/>
  <c r="K15" i="45" s="1"/>
  <c r="E6" i="45"/>
  <c r="E29" i="45" s="1"/>
  <c r="I7" i="45"/>
  <c r="I43" i="45" s="1"/>
  <c r="G9" i="45"/>
  <c r="G71" i="45" s="1"/>
  <c r="J7" i="45"/>
  <c r="J43" i="45" s="1"/>
  <c r="H9" i="45"/>
  <c r="H71" i="45" s="1"/>
  <c r="F6" i="45"/>
  <c r="F29" i="45" s="1"/>
  <c r="K7" i="45"/>
  <c r="K43" i="45" s="1"/>
  <c r="I9" i="45"/>
  <c r="I71" i="45" s="1"/>
  <c r="G6" i="45"/>
  <c r="G29" i="45" s="1"/>
  <c r="E8" i="45"/>
  <c r="E57" i="45" s="1"/>
  <c r="J9" i="45"/>
  <c r="J71" i="45" s="1"/>
  <c r="H6" i="45"/>
  <c r="H29" i="45" s="1"/>
  <c r="F8" i="45"/>
  <c r="F57" i="45" s="1"/>
  <c r="K9" i="45"/>
  <c r="K71" i="45" s="1"/>
  <c r="D5" i="45"/>
  <c r="I6" i="45"/>
  <c r="I29" i="45" s="1"/>
  <c r="G8" i="45"/>
  <c r="G57" i="45" s="1"/>
  <c r="E10" i="45"/>
  <c r="E85" i="45" s="1"/>
  <c r="E5" i="45"/>
  <c r="J6" i="45"/>
  <c r="J29" i="45" s="1"/>
  <c r="H8" i="45"/>
  <c r="H57" i="45" s="1"/>
  <c r="F10" i="45"/>
  <c r="F5" i="45"/>
  <c r="K6" i="45"/>
  <c r="K29" i="45" s="1"/>
  <c r="I8" i="45"/>
  <c r="I57" i="45" s="1"/>
  <c r="G10" i="45"/>
  <c r="G5" i="45"/>
  <c r="E7" i="45"/>
  <c r="E43" i="45" s="1"/>
  <c r="J8" i="45"/>
  <c r="J57" i="45" s="1"/>
  <c r="H10" i="45"/>
  <c r="H5" i="45"/>
  <c r="F7" i="45"/>
  <c r="F43" i="45" s="1"/>
  <c r="K8" i="45"/>
  <c r="K57" i="45" s="1"/>
  <c r="I10" i="45"/>
  <c r="I5" i="45"/>
  <c r="G7" i="45"/>
  <c r="G43" i="45" s="1"/>
  <c r="E9" i="45"/>
  <c r="E71" i="45" s="1"/>
  <c r="J10" i="45"/>
  <c r="J5" i="45"/>
  <c r="J15" i="45" s="1"/>
  <c r="H7" i="45"/>
  <c r="H43" i="45" s="1"/>
  <c r="F9" i="45"/>
  <c r="F71" i="45" s="1"/>
  <c r="K10" i="45"/>
  <c r="G7" i="44"/>
  <c r="G43" i="44" s="1"/>
  <c r="E9" i="44"/>
  <c r="E71" i="44" s="1"/>
  <c r="G5" i="44"/>
  <c r="G15" i="44" s="1"/>
  <c r="H5" i="44"/>
  <c r="H15" i="44" s="1"/>
  <c r="F9" i="44"/>
  <c r="F71" i="44" s="1"/>
  <c r="I7" i="44"/>
  <c r="I43" i="44" s="1"/>
  <c r="K8" i="44"/>
  <c r="K57" i="44" s="1"/>
  <c r="I5" i="44"/>
  <c r="I15" i="44" s="1"/>
  <c r="G9" i="44"/>
  <c r="G71" i="44" s="1"/>
  <c r="H10" i="44"/>
  <c r="E7" i="44"/>
  <c r="E43" i="44" s="1"/>
  <c r="J10" i="44"/>
  <c r="H7" i="44"/>
  <c r="H43" i="44" s="1"/>
  <c r="J8" i="44"/>
  <c r="J57" i="44" s="1"/>
  <c r="J5" i="44"/>
  <c r="J15" i="44" s="1"/>
  <c r="K5" i="44"/>
  <c r="K15" i="44" s="1"/>
  <c r="I10" i="44"/>
  <c r="F7" i="44"/>
  <c r="F43" i="44" s="1"/>
  <c r="K10" i="44"/>
  <c r="E6" i="44"/>
  <c r="E29" i="44" s="1"/>
  <c r="J7" i="44"/>
  <c r="J43" i="44" s="1"/>
  <c r="H9" i="44"/>
  <c r="H71" i="44" s="1"/>
  <c r="F6" i="44"/>
  <c r="F29" i="44" s="1"/>
  <c r="K7" i="44"/>
  <c r="K43" i="44" s="1"/>
  <c r="I9" i="44"/>
  <c r="I71" i="44" s="1"/>
  <c r="G6" i="44"/>
  <c r="G29" i="44" s="1"/>
  <c r="E8" i="44"/>
  <c r="E57" i="44" s="1"/>
  <c r="J9" i="44"/>
  <c r="H6" i="44"/>
  <c r="H29" i="44" s="1"/>
  <c r="F8" i="44"/>
  <c r="F57" i="44" s="1"/>
  <c r="K9" i="44"/>
  <c r="D5" i="44"/>
  <c r="I6" i="44"/>
  <c r="I29" i="44" s="1"/>
  <c r="G8" i="44"/>
  <c r="G57" i="44" s="1"/>
  <c r="E10" i="44"/>
  <c r="E5" i="44"/>
  <c r="J6" i="44"/>
  <c r="J29" i="44" s="1"/>
  <c r="H8" i="44"/>
  <c r="H57" i="44" s="1"/>
  <c r="F10" i="44"/>
  <c r="F5" i="44"/>
  <c r="K6" i="44"/>
  <c r="K29" i="44" s="1"/>
  <c r="I8" i="44"/>
  <c r="I57" i="44" s="1"/>
  <c r="G10" i="44"/>
  <c r="K5" i="43"/>
  <c r="K15" i="43" s="1"/>
  <c r="E6" i="43"/>
  <c r="E29" i="43" s="1"/>
  <c r="I7" i="43"/>
  <c r="I43" i="43" s="1"/>
  <c r="J7" i="43"/>
  <c r="J43" i="43" s="1"/>
  <c r="H9" i="43"/>
  <c r="G9" i="43"/>
  <c r="F6" i="43"/>
  <c r="F29" i="43" s="1"/>
  <c r="K7" i="43"/>
  <c r="K43" i="43" s="1"/>
  <c r="I9" i="43"/>
  <c r="G6" i="43"/>
  <c r="G29" i="43" s="1"/>
  <c r="E8" i="43"/>
  <c r="E57" i="43" s="1"/>
  <c r="J9" i="43"/>
  <c r="H6" i="43"/>
  <c r="H29" i="43" s="1"/>
  <c r="F8" i="43"/>
  <c r="F57" i="43" s="1"/>
  <c r="K9" i="43"/>
  <c r="D5" i="43"/>
  <c r="I6" i="43"/>
  <c r="I29" i="43" s="1"/>
  <c r="G8" i="43"/>
  <c r="G57" i="43" s="1"/>
  <c r="E10" i="43"/>
  <c r="E5" i="43"/>
  <c r="E15" i="43" s="1"/>
  <c r="J6" i="43"/>
  <c r="J29" i="43" s="1"/>
  <c r="H8" i="43"/>
  <c r="H57" i="43" s="1"/>
  <c r="F10" i="43"/>
  <c r="F5" i="43"/>
  <c r="F15" i="43" s="1"/>
  <c r="K6" i="43"/>
  <c r="K29" i="43" s="1"/>
  <c r="I8" i="43"/>
  <c r="I57" i="43" s="1"/>
  <c r="G10" i="43"/>
  <c r="G5" i="43"/>
  <c r="G15" i="43" s="1"/>
  <c r="E7" i="43"/>
  <c r="E43" i="43" s="1"/>
  <c r="J8" i="43"/>
  <c r="J57" i="43" s="1"/>
  <c r="H10" i="43"/>
  <c r="H5" i="43"/>
  <c r="H15" i="43" s="1"/>
  <c r="F7" i="43"/>
  <c r="F43" i="43" s="1"/>
  <c r="K8" i="43"/>
  <c r="K57" i="43" s="1"/>
  <c r="I10" i="43"/>
  <c r="I5" i="43"/>
  <c r="I15" i="43" s="1"/>
  <c r="G7" i="43"/>
  <c r="G43" i="43" s="1"/>
  <c r="E9" i="43"/>
  <c r="E71" i="43" s="1"/>
  <c r="J10" i="43"/>
  <c r="J5" i="43"/>
  <c r="J15" i="43" s="1"/>
  <c r="H7" i="43"/>
  <c r="H43" i="43" s="1"/>
  <c r="F9" i="43"/>
  <c r="F71" i="43" s="1"/>
  <c r="K10" i="43"/>
  <c r="G7" i="42"/>
  <c r="G43" i="42" s="1"/>
  <c r="H7" i="42"/>
  <c r="H43" i="42" s="1"/>
  <c r="F7" i="42"/>
  <c r="F43" i="42" s="1"/>
  <c r="I7" i="42"/>
  <c r="I43" i="42" s="1"/>
  <c r="E9" i="42"/>
  <c r="E71" i="42" s="1"/>
  <c r="F9" i="42"/>
  <c r="F71" i="42" s="1"/>
  <c r="G9" i="42"/>
  <c r="G71" i="42" s="1"/>
  <c r="I5" i="42"/>
  <c r="I15" i="42" s="1"/>
  <c r="J10" i="42"/>
  <c r="K8" i="42"/>
  <c r="K57" i="42" s="1"/>
  <c r="H5" i="42"/>
  <c r="I10" i="42"/>
  <c r="J5" i="42"/>
  <c r="J15" i="42" s="1"/>
  <c r="K5" i="42"/>
  <c r="K15" i="42" s="1"/>
  <c r="F6" i="42"/>
  <c r="F29" i="42" s="1"/>
  <c r="K7" i="42"/>
  <c r="K43" i="42" s="1"/>
  <c r="I9" i="42"/>
  <c r="I71" i="42" s="1"/>
  <c r="H6" i="42"/>
  <c r="H29" i="42" s="1"/>
  <c r="I6" i="42"/>
  <c r="I29" i="42" s="1"/>
  <c r="E10" i="42"/>
  <c r="E5" i="42"/>
  <c r="F10" i="42"/>
  <c r="F5" i="42"/>
  <c r="K6" i="42"/>
  <c r="K29" i="42" s="1"/>
  <c r="I8" i="42"/>
  <c r="I57" i="42" s="1"/>
  <c r="G10" i="42"/>
  <c r="E6" i="42"/>
  <c r="E29" i="42" s="1"/>
  <c r="J7" i="42"/>
  <c r="J43" i="42" s="1"/>
  <c r="H9" i="42"/>
  <c r="H71" i="42" s="1"/>
  <c r="G6" i="42"/>
  <c r="G29" i="42" s="1"/>
  <c r="E8" i="42"/>
  <c r="E57" i="42" s="1"/>
  <c r="J9" i="42"/>
  <c r="J71" i="42" s="1"/>
  <c r="F8" i="42"/>
  <c r="F57" i="42" s="1"/>
  <c r="K9" i="42"/>
  <c r="K71" i="42" s="1"/>
  <c r="D5" i="42"/>
  <c r="G8" i="42"/>
  <c r="G57" i="42" s="1"/>
  <c r="J6" i="42"/>
  <c r="J29" i="42" s="1"/>
  <c r="H8" i="42"/>
  <c r="H57" i="42" s="1"/>
  <c r="G5" i="42"/>
  <c r="E7" i="42"/>
  <c r="E43" i="42" s="1"/>
  <c r="J8" i="42"/>
  <c r="J57" i="42" s="1"/>
  <c r="H10" i="42"/>
  <c r="K10" i="42"/>
  <c r="I5" i="41"/>
  <c r="J5" i="41"/>
  <c r="I7" i="41"/>
  <c r="I29" i="41" s="1"/>
  <c r="E9" i="41"/>
  <c r="E57" i="41" s="1"/>
  <c r="K5" i="41"/>
  <c r="H7" i="41"/>
  <c r="H29" i="41" s="1"/>
  <c r="F9" i="41"/>
  <c r="F57" i="41" s="1"/>
  <c r="G7" i="41"/>
  <c r="G29" i="41" s="1"/>
  <c r="G9" i="41"/>
  <c r="G57" i="41" s="1"/>
  <c r="J10" i="41"/>
  <c r="K10" i="41"/>
  <c r="F8" i="41"/>
  <c r="F43" i="41" s="1"/>
  <c r="E5" i="41"/>
  <c r="J6" i="41"/>
  <c r="J15" i="41" s="1"/>
  <c r="H8" i="41"/>
  <c r="H43" i="41" s="1"/>
  <c r="F10" i="41"/>
  <c r="E6" i="41"/>
  <c r="E15" i="41" s="1"/>
  <c r="J7" i="41"/>
  <c r="J29" i="41" s="1"/>
  <c r="H9" i="41"/>
  <c r="H57" i="41" s="1"/>
  <c r="F6" i="41"/>
  <c r="F15" i="41" s="1"/>
  <c r="K7" i="41"/>
  <c r="K29" i="41" s="1"/>
  <c r="I9" i="41"/>
  <c r="G6" i="41"/>
  <c r="G15" i="41" s="1"/>
  <c r="E8" i="41"/>
  <c r="E43" i="41" s="1"/>
  <c r="J9" i="41"/>
  <c r="H6" i="41"/>
  <c r="H15" i="41" s="1"/>
  <c r="K9" i="41"/>
  <c r="D5" i="41"/>
  <c r="I6" i="41"/>
  <c r="I15" i="41" s="1"/>
  <c r="G8" i="41"/>
  <c r="G43" i="41" s="1"/>
  <c r="E10" i="41"/>
  <c r="F5" i="41"/>
  <c r="K6" i="41"/>
  <c r="K15" i="41" s="1"/>
  <c r="I8" i="41"/>
  <c r="I43" i="41" s="1"/>
  <c r="G10" i="41"/>
  <c r="G5" i="41"/>
  <c r="E7" i="41"/>
  <c r="E29" i="41" s="1"/>
  <c r="J8" i="41"/>
  <c r="J43" i="41" s="1"/>
  <c r="H10" i="41"/>
  <c r="H5" i="41"/>
  <c r="F7" i="41"/>
  <c r="F29" i="41" s="1"/>
  <c r="K8" i="41"/>
  <c r="K43" i="41" s="1"/>
  <c r="I10" i="41"/>
  <c r="E6" i="28"/>
  <c r="E85" i="48" l="1"/>
  <c r="F85" i="51"/>
  <c r="E29" i="28"/>
  <c r="I10" i="28"/>
  <c r="H8" i="28"/>
  <c r="H57" i="28" s="1"/>
  <c r="I9" i="28"/>
  <c r="I71" i="28" s="1"/>
  <c r="J10" i="28"/>
  <c r="G7" i="28"/>
  <c r="G43" i="28" s="1"/>
  <c r="F6" i="28"/>
  <c r="F29" i="28" s="1"/>
  <c r="E5" i="28"/>
  <c r="F5" i="28"/>
  <c r="G6" i="28"/>
  <c r="G29" i="28" s="1"/>
  <c r="H7" i="28"/>
  <c r="H43" i="28" s="1"/>
  <c r="I8" i="28"/>
  <c r="I57" i="28" s="1"/>
  <c r="J9" i="28"/>
  <c r="J71" i="28" s="1"/>
  <c r="K10" i="28"/>
  <c r="K9" i="28"/>
  <c r="E10" i="28"/>
  <c r="F10" i="28"/>
  <c r="G10" i="28"/>
  <c r="H6" i="28"/>
  <c r="H29" i="28" s="1"/>
  <c r="H5" i="28"/>
  <c r="H15" i="28" s="1"/>
  <c r="J7" i="28"/>
  <c r="J43" i="28" s="1"/>
  <c r="I5" i="28"/>
  <c r="I15" i="28" s="1"/>
  <c r="K7" i="28"/>
  <c r="K43" i="28" s="1"/>
  <c r="E9" i="28"/>
  <c r="E71" i="28" s="1"/>
  <c r="K6" i="28"/>
  <c r="K29" i="28" s="1"/>
  <c r="F9" i="28"/>
  <c r="F71" i="28" s="1"/>
  <c r="K5" i="28"/>
  <c r="K15" i="28" s="1"/>
  <c r="E7" i="28"/>
  <c r="E43" i="28" s="1"/>
  <c r="F8" i="28"/>
  <c r="F57" i="28" s="1"/>
  <c r="G9" i="28"/>
  <c r="G71" i="28" s="1"/>
  <c r="H10" i="28"/>
  <c r="G5" i="28"/>
  <c r="I7" i="28"/>
  <c r="I43" i="28" s="1"/>
  <c r="J8" i="28"/>
  <c r="J57" i="28" s="1"/>
  <c r="I6" i="28"/>
  <c r="I29" i="28" s="1"/>
  <c r="K8" i="28"/>
  <c r="K57" i="28" s="1"/>
  <c r="J6" i="28"/>
  <c r="J29" i="28" s="1"/>
  <c r="J5" i="28"/>
  <c r="J15" i="28" s="1"/>
  <c r="E8" i="28"/>
  <c r="E57" i="28" s="1"/>
  <c r="F7" i="28"/>
  <c r="F43" i="28" s="1"/>
  <c r="G8" i="28"/>
  <c r="G57" i="28" s="1"/>
  <c r="H9" i="28"/>
  <c r="H71" i="28" s="1"/>
</calcChain>
</file>

<file path=xl/sharedStrings.xml><?xml version="1.0" encoding="utf-8"?>
<sst xmlns="http://schemas.openxmlformats.org/spreadsheetml/2006/main" count="236" uniqueCount="26">
  <si>
    <t>JAN</t>
  </si>
  <si>
    <t>MON</t>
  </si>
  <si>
    <t>TUE</t>
  </si>
  <si>
    <t>WED</t>
  </si>
  <si>
    <t>THU</t>
  </si>
  <si>
    <t>FRI</t>
  </si>
  <si>
    <t>SAT</t>
  </si>
  <si>
    <t>SUN</t>
  </si>
  <si>
    <t>WEEKLY SCHEDULE</t>
  </si>
  <si>
    <t>FEB</t>
  </si>
  <si>
    <t>MAR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</si>
  <si>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</si>
  <si>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</si>
  <si>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</si>
  <si>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</si>
  <si>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</si>
  <si>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</si>
  <si>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</si>
  <si>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</si>
  <si>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</si>
  <si>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Week 1</t>
  </si>
  <si>
    <t>Week 2</t>
  </si>
  <si>
    <t>Week 3</t>
  </si>
  <si>
    <t>Week 4</t>
  </si>
  <si>
    <t>Week 5</t>
  </si>
  <si>
    <t>Week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</si>
</sst>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d"/>
    <numFmt numFmtId="169" formatCode="[$-409]mmmmm;@"/>
  </numFmts>
  <fonts count="2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 tint="0.249977111117893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24"/>
      <color theme="4" tint="-0.499984740745262"/>
      <name val="Arial"/>
      <family val="2"/>
      <scheme val="minor"/>
    </font>
    <font>
      <b/>
      <sz val="17"/>
      <color theme="4" tint="-0.499984740745262"/>
      <name val="Arial"/>
      <family val="2"/>
      <scheme val="minor"/>
    </font>
    <font>
      <b/>
      <sz val="12"/>
      <color theme="4" tint="-0.499984740745262"/>
      <name val="Arial"/>
      <family val="2"/>
      <scheme val="minor"/>
    </font>
    <font>
      <b/>
      <sz val="11"/>
      <color theme="4" tint="-0.499984740745262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4" tint="-0.499984740745262"/>
      <name val="Arial"/>
      <family val="2"/>
      <scheme val="major"/>
    </font>
    <font>
      <sz val="11"/>
      <name val="Arial"/>
      <family val="2"/>
      <scheme val="minor"/>
    </font>
    <font>
      <sz val="36"/>
      <name val="Arial"/>
      <family val="2"/>
      <scheme val="major"/>
    </font>
    <font>
      <b/>
      <sz val="11"/>
      <name val="Arial"/>
      <family val="2"/>
      <scheme val="minor"/>
    </font>
    <font>
      <b/>
      <sz val="48"/>
      <color theme="0"/>
      <name val="Arial"/>
      <family val="2"/>
      <scheme val="minor"/>
    </font>
    <font>
      <b/>
      <sz val="14"/>
      <name val="Arial"/>
      <family val="2"/>
      <scheme val="minor"/>
    </font>
    <font>
      <sz val="36"/>
      <name val="Arial"/>
      <family val="2"/>
      <scheme val="minor"/>
    </font>
    <font>
      <sz val="12"/>
      <name val="Arial"/>
      <family val="2"/>
      <scheme val="minor"/>
    </font>
    <font>
      <sz val="14"/>
      <name val="Arial"/>
      <family val="2"/>
      <scheme val="minor"/>
    </font>
    <font>
      <b/>
      <sz val="12"/>
      <name val="Arial"/>
      <family val="2"/>
      <scheme val="minor"/>
    </font>
    <font>
      <b/>
      <sz val="18"/>
      <name val="Arial"/>
      <family val="2"/>
      <scheme val="minor"/>
    </font>
    <font>
      <b/>
      <sz val="32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0"/>
      <name val="Arial"/>
      <family val="2"/>
      <scheme val="major"/>
    </font>
    <font>
      <sz val="26"/>
      <name val="Arial"/>
      <family val="2"/>
      <scheme val="major"/>
    </font>
    <font>
      <b/>
      <sz val="20"/>
      <name val="Arial"/>
      <family val="2"/>
      <scheme val="minor"/>
    </font>
    <font>
      <b/>
      <sz val="26"/>
      <name val="Arial"/>
      <family val="2"/>
      <scheme val="major"/>
    </font>
    <font>
      <b/>
      <sz val="26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theme="4" tint="0.79998168889431442"/>
      </left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 tint="-0.499984740745262"/>
      </top>
      <bottom/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8" tint="0.39997558519241921"/>
      </right>
      <top/>
      <bottom/>
      <diagonal/>
    </border>
    <border>
      <left style="thin">
        <color theme="8" tint="0.39997558519241921"/>
      </left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/>
      <bottom style="thin">
        <color theme="8" tint="0.39994506668294322"/>
      </bottom>
      <diagonal/>
    </border>
    <border>
      <left/>
      <right/>
      <top/>
      <bottom style="thin">
        <color theme="6" tint="0.5999938962981048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>
      <alignment wrapText="1"/>
    </xf>
    <xf numFmtId="0" fontId="10" fillId="0" borderId="0" applyFill="0" applyBorder="0" applyProtection="0">
      <alignment horizontal="center" vertical="center"/>
    </xf>
    <xf numFmtId="169" fontId="5" fillId="0" borderId="0" applyFill="0" applyBorder="0" applyProtection="0">
      <alignment horizontal="center" vertical="center"/>
    </xf>
    <xf numFmtId="0" fontId="6" fillId="0" borderId="0" applyFill="0" applyProtection="0">
      <alignment horizontal="left" vertical="center" indent="2"/>
    </xf>
    <xf numFmtId="0" fontId="7" fillId="0" borderId="0" applyNumberFormat="0" applyFill="0" applyBorder="0" applyProtection="0">
      <alignment horizontal="left" vertical="center"/>
    </xf>
    <xf numFmtId="0" fontId="7" fillId="0" borderId="0" applyFill="0" applyBorder="0" applyProtection="0"/>
    <xf numFmtId="167" fontId="1" fillId="0" borderId="0" applyFill="0" applyBorder="0" applyAlignment="0" applyProtection="0"/>
    <xf numFmtId="165" fontId="1" fillId="0" borderId="0" applyFill="0" applyBorder="0" applyAlignment="0" applyProtection="0"/>
    <xf numFmtId="166" fontId="1" fillId="0" borderId="0" applyFill="0" applyBorder="0" applyAlignment="0" applyProtection="0"/>
    <xf numFmtId="164" fontId="1" fillId="0" borderId="0" applyFill="0" applyBorder="0" applyAlignment="0" applyProtection="0"/>
    <xf numFmtId="9" fontId="1" fillId="0" borderId="0" applyFill="0" applyBorder="0" applyAlignment="0" applyProtection="0"/>
    <xf numFmtId="0" fontId="3" fillId="3" borderId="2" applyNumberFormat="0" applyAlignment="0" applyProtection="0"/>
    <xf numFmtId="0" fontId="4" fillId="4" borderId="1">
      <alignment horizontal="left" indent="1"/>
    </xf>
    <xf numFmtId="0" fontId="8" fillId="0" borderId="0">
      <alignment vertical="center"/>
    </xf>
    <xf numFmtId="0" fontId="8" fillId="0" borderId="3" applyNumberFormat="0" applyFont="0" applyFill="0" applyAlignment="0" applyProtection="0">
      <alignment horizontal="left" vertical="center" indent="2"/>
    </xf>
    <xf numFmtId="1" fontId="9" fillId="0" borderId="0" applyFill="0" applyBorder="0">
      <alignment horizontal="center"/>
    </xf>
    <xf numFmtId="0" fontId="11" fillId="0" borderId="4" applyNumberFormat="0" applyFont="0" applyFill="0" applyAlignment="0" applyProtection="0">
      <alignment horizontal="center"/>
    </xf>
    <xf numFmtId="0" fontId="11" fillId="0" borderId="5" applyNumberFormat="0" applyFont="0" applyFill="0" applyAlignment="0" applyProtection="0"/>
    <xf numFmtId="168" fontId="2" fillId="0" borderId="0" applyNumberFormat="0" applyFill="0" applyBorder="0">
      <alignment horizontal="left" vertical="center" indent="1"/>
    </xf>
    <xf numFmtId="0" fontId="11" fillId="2" borderId="0" applyFont="0" applyBorder="0">
      <alignment horizontal="left" vertical="top" indent="1"/>
    </xf>
    <xf numFmtId="0" fontId="4" fillId="0" borderId="0" applyNumberFormat="0" applyFill="0" applyBorder="0" applyAlignment="0">
      <alignment wrapText="1"/>
    </xf>
    <xf numFmtId="20" fontId="11" fillId="2" borderId="0" applyFill="0" applyBorder="0">
      <alignment horizontal="left" indent="1"/>
    </xf>
  </cellStyleXfs>
  <cellXfs count="100">
    <xf numFmtId="0" fontId="0" fillId="0" borderId="0" xfId="0">
      <alignment wrapText="1"/>
    </xf>
    <xf numFmtId="169" fontId="12" fillId="0" borderId="0" xfId="2" applyFont="1" applyBorder="1" applyAlignment="1" applyProtection="1">
      <alignment horizontal="left" vertical="center"/>
    </xf>
    <xf numFmtId="0" fontId="12" fillId="0" borderId="0" xfId="4" applyFont="1" applyBorder="1" applyAlignment="1" applyProtection="1">
      <alignment vertical="center"/>
    </xf>
    <xf numFmtId="168" fontId="2" fillId="0" borderId="0" xfId="18" applyNumberFormat="1" applyFill="1" applyBorder="1">
      <alignment horizontal="left" vertical="center" indent="1"/>
    </xf>
    <xf numFmtId="0" fontId="0" fillId="6" borderId="0" xfId="0" applyFill="1">
      <alignment wrapText="1"/>
    </xf>
    <xf numFmtId="0" fontId="14" fillId="6" borderId="0" xfId="3" applyFont="1" applyFill="1" applyAlignment="1" applyProtection="1">
      <alignment horizontal="left" vertical="center"/>
    </xf>
    <xf numFmtId="0" fontId="0" fillId="6" borderId="20" xfId="0" applyFill="1" applyBorder="1">
      <alignment wrapText="1"/>
    </xf>
    <xf numFmtId="0" fontId="0" fillId="6" borderId="0" xfId="0" applyFill="1" applyAlignment="1">
      <alignment horizontal="left" wrapText="1" indent="1"/>
    </xf>
    <xf numFmtId="0" fontId="0" fillId="6" borderId="0" xfId="0" applyFill="1" applyAlignment="1">
      <alignment vertical="center" wrapText="1"/>
    </xf>
    <xf numFmtId="0" fontId="0" fillId="6" borderId="14" xfId="0" applyFill="1" applyBorder="1">
      <alignment wrapText="1"/>
    </xf>
    <xf numFmtId="0" fontId="0" fillId="0" borderId="6" xfId="0" applyBorder="1">
      <alignment wrapText="1"/>
    </xf>
    <xf numFmtId="0" fontId="0" fillId="5" borderId="0" xfId="0" applyFill="1">
      <alignment wrapText="1"/>
    </xf>
    <xf numFmtId="0" fontId="0" fillId="0" borderId="0" xfId="0" applyAlignment="1">
      <alignment vertical="center" wrapText="1"/>
    </xf>
    <xf numFmtId="0" fontId="0" fillId="6" borderId="15" xfId="0" applyFill="1" applyBorder="1">
      <alignment wrapText="1"/>
    </xf>
    <xf numFmtId="0" fontId="0" fillId="0" borderId="10" xfId="0" applyBorder="1">
      <alignment wrapText="1"/>
    </xf>
    <xf numFmtId="0" fontId="0" fillId="0" borderId="13" xfId="0" applyBorder="1">
      <alignment wrapText="1"/>
    </xf>
    <xf numFmtId="0" fontId="0" fillId="0" borderId="7" xfId="0" applyBorder="1">
      <alignment wrapText="1"/>
    </xf>
    <xf numFmtId="0" fontId="0" fillId="0" borderId="11" xfId="0" applyBorder="1">
      <alignment wrapText="1"/>
    </xf>
    <xf numFmtId="0" fontId="15" fillId="0" borderId="0" xfId="14" applyNumberFormat="1" applyFont="1" applyBorder="1" applyAlignment="1" applyProtection="1">
      <alignment horizontal="left" vertical="center" indent="1"/>
    </xf>
    <xf numFmtId="0" fontId="15" fillId="0" borderId="8" xfId="14" applyNumberFormat="1" applyFont="1" applyBorder="1" applyAlignment="1" applyProtection="1">
      <alignment horizontal="left" vertical="center" indent="1"/>
    </xf>
    <xf numFmtId="0" fontId="0" fillId="6" borderId="14" xfId="17" applyFont="1" applyFill="1" applyBorder="1" applyAlignment="1" applyProtection="1">
      <alignment wrapText="1"/>
    </xf>
    <xf numFmtId="0" fontId="0" fillId="0" borderId="0" xfId="17" applyFont="1" applyFill="1" applyBorder="1" applyAlignment="1" applyProtection="1">
      <alignment wrapText="1"/>
    </xf>
    <xf numFmtId="0" fontId="0" fillId="0" borderId="11" xfId="17" applyFont="1" applyFill="1" applyBorder="1" applyAlignment="1" applyProtection="1">
      <alignment wrapText="1"/>
    </xf>
    <xf numFmtId="168" fontId="17" fillId="0" borderId="0" xfId="18" applyNumberFormat="1" applyFont="1" applyFill="1" applyBorder="1">
      <alignment horizontal="left" vertical="center" indent="1"/>
    </xf>
    <xf numFmtId="168" fontId="18" fillId="0" borderId="8" xfId="18" applyNumberFormat="1" applyFont="1" applyFill="1" applyBorder="1">
      <alignment horizontal="left" vertical="center" indent="1"/>
    </xf>
    <xf numFmtId="0" fontId="2" fillId="5" borderId="0" xfId="14" applyNumberFormat="1" applyFont="1" applyFill="1" applyBorder="1" applyAlignment="1" applyProtection="1">
      <alignment horizontal="left" vertical="center" indent="1"/>
    </xf>
    <xf numFmtId="168" fontId="2" fillId="5" borderId="0" xfId="18" applyNumberFormat="1" applyFill="1" applyBorder="1">
      <alignment horizontal="left" vertical="center" indent="1"/>
    </xf>
    <xf numFmtId="0" fontId="11" fillId="0" borderId="0" xfId="0" applyFont="1">
      <alignment wrapText="1"/>
    </xf>
    <xf numFmtId="168" fontId="17" fillId="5" borderId="0" xfId="18" applyNumberFormat="1" applyFont="1" applyFill="1" applyBorder="1">
      <alignment horizontal="left" vertical="center" indent="1"/>
    </xf>
    <xf numFmtId="168" fontId="17" fillId="0" borderId="0" xfId="16" applyNumberFormat="1" applyFont="1" applyFill="1" applyBorder="1" applyAlignment="1" applyProtection="1">
      <alignment horizontal="left" vertical="center" indent="1"/>
    </xf>
    <xf numFmtId="168" fontId="18" fillId="0" borderId="8" xfId="16" applyNumberFormat="1" applyFont="1" applyFill="1" applyBorder="1" applyAlignment="1" applyProtection="1">
      <alignment horizontal="left" vertical="center" indent="1"/>
    </xf>
    <xf numFmtId="0" fontId="0" fillId="0" borderId="12" xfId="17" applyFont="1" applyFill="1" applyBorder="1" applyAlignment="1" applyProtection="1">
      <alignment wrapText="1"/>
    </xf>
    <xf numFmtId="0" fontId="0" fillId="0" borderId="9" xfId="0" applyBorder="1">
      <alignment wrapText="1"/>
    </xf>
    <xf numFmtId="168" fontId="2" fillId="5" borderId="0" xfId="16" applyNumberFormat="1" applyFont="1" applyFill="1" applyBorder="1" applyAlignment="1" applyProtection="1">
      <alignment horizontal="left" vertical="center" indent="1"/>
    </xf>
    <xf numFmtId="0" fontId="0" fillId="0" borderId="13" xfId="16" applyFont="1" applyBorder="1" applyAlignment="1" applyProtection="1">
      <alignment wrapText="1"/>
    </xf>
    <xf numFmtId="0" fontId="16" fillId="0" borderId="0" xfId="4" applyFont="1" applyBorder="1" applyAlignment="1" applyProtection="1">
      <alignment vertical="center"/>
    </xf>
    <xf numFmtId="0" fontId="0" fillId="5" borderId="0" xfId="14" applyFont="1" applyFill="1" applyBorder="1" applyAlignment="1" applyProtection="1">
      <alignment wrapText="1"/>
    </xf>
    <xf numFmtId="0" fontId="21" fillId="0" borderId="0" xfId="4" applyFont="1" applyBorder="1" applyAlignment="1" applyProtection="1">
      <alignment horizontal="left" vertical="center" indent="2"/>
    </xf>
    <xf numFmtId="0" fontId="4" fillId="0" borderId="0" xfId="20" applyFill="1" applyBorder="1" applyAlignment="1">
      <alignment wrapText="1"/>
    </xf>
    <xf numFmtId="0" fontId="15" fillId="5" borderId="7" xfId="17" applyFont="1" applyFill="1" applyBorder="1" applyAlignment="1" applyProtection="1">
      <alignment horizontal="left" vertical="center" indent="1"/>
    </xf>
    <xf numFmtId="0" fontId="4" fillId="5" borderId="0" xfId="17" applyFont="1" applyFill="1" applyBorder="1" applyAlignment="1" applyProtection="1">
      <alignment horizontal="left" indent="1"/>
    </xf>
    <xf numFmtId="0" fontId="15" fillId="5" borderId="17" xfId="17" applyFont="1" applyFill="1" applyBorder="1" applyAlignment="1" applyProtection="1">
      <alignment horizontal="left" vertical="center" indent="1"/>
    </xf>
    <xf numFmtId="0" fontId="4" fillId="0" borderId="11" xfId="20" applyFill="1" applyBorder="1" applyAlignment="1">
      <alignment wrapText="1"/>
    </xf>
    <xf numFmtId="20" fontId="15" fillId="0" borderId="0" xfId="21" applyFont="1" applyFill="1" applyBorder="1">
      <alignment horizontal="left" indent="1"/>
    </xf>
    <xf numFmtId="0" fontId="22" fillId="5" borderId="8" xfId="19" applyFont="1" applyFill="1" applyBorder="1">
      <alignment horizontal="left" vertical="top" indent="1"/>
    </xf>
    <xf numFmtId="20" fontId="18" fillId="5" borderId="8" xfId="21" applyFont="1" applyFill="1" applyBorder="1">
      <alignment horizontal="left" indent="1"/>
    </xf>
    <xf numFmtId="0" fontId="23" fillId="5" borderId="8" xfId="19" applyFont="1" applyFill="1" applyBorder="1">
      <alignment horizontal="left" vertical="top" indent="1"/>
    </xf>
    <xf numFmtId="0" fontId="4" fillId="0" borderId="12" xfId="20" applyFill="1" applyBorder="1" applyAlignment="1">
      <alignment wrapText="1"/>
    </xf>
    <xf numFmtId="0" fontId="22" fillId="5" borderId="6" xfId="19" applyFont="1" applyFill="1" applyBorder="1">
      <alignment horizontal="left" vertical="top" indent="1"/>
    </xf>
    <xf numFmtId="0" fontId="22" fillId="5" borderId="9" xfId="19" applyFont="1" applyFill="1" applyBorder="1">
      <alignment horizontal="left" vertical="top" indent="1"/>
    </xf>
    <xf numFmtId="0" fontId="0" fillId="0" borderId="0" xfId="0" applyAlignment="1">
      <alignment horizontal="left" wrapText="1" indent="1"/>
    </xf>
    <xf numFmtId="0" fontId="0" fillId="6" borderId="16" xfId="0" applyFill="1" applyBorder="1">
      <alignment wrapText="1"/>
    </xf>
    <xf numFmtId="0" fontId="0" fillId="6" borderId="16" xfId="0" applyFill="1" applyBorder="1" applyAlignment="1">
      <alignment horizontal="left" wrapText="1" indent="1"/>
    </xf>
    <xf numFmtId="0" fontId="0" fillId="6" borderId="16" xfId="0" applyFill="1" applyBorder="1" applyAlignment="1">
      <alignment vertical="center" wrapText="1"/>
    </xf>
    <xf numFmtId="0" fontId="0" fillId="7" borderId="0" xfId="0" applyFill="1">
      <alignment wrapText="1"/>
    </xf>
    <xf numFmtId="0" fontId="14" fillId="7" borderId="0" xfId="3" applyFont="1" applyFill="1" applyAlignment="1" applyProtection="1">
      <alignment horizontal="left" vertical="center"/>
    </xf>
    <xf numFmtId="0" fontId="0" fillId="7" borderId="0" xfId="0" applyFill="1" applyAlignment="1">
      <alignment horizontal="left" wrapText="1" indent="1"/>
    </xf>
    <xf numFmtId="0" fontId="0" fillId="7" borderId="0" xfId="0" applyFill="1" applyAlignment="1">
      <alignment vertical="center" wrapText="1"/>
    </xf>
    <xf numFmtId="0" fontId="0" fillId="7" borderId="0" xfId="17" applyFont="1" applyFill="1" applyBorder="1" applyAlignment="1" applyProtection="1">
      <alignment wrapText="1"/>
    </xf>
    <xf numFmtId="0" fontId="4" fillId="7" borderId="0" xfId="20" applyFill="1" applyBorder="1" applyAlignment="1">
      <alignment wrapText="1"/>
    </xf>
    <xf numFmtId="0" fontId="0" fillId="7" borderId="21" xfId="0" applyFill="1" applyBorder="1">
      <alignment wrapText="1"/>
    </xf>
    <xf numFmtId="169" fontId="25" fillId="0" borderId="0" xfId="2" applyFont="1" applyBorder="1" applyAlignment="1" applyProtection="1">
      <alignment horizontal="left" vertical="center"/>
    </xf>
    <xf numFmtId="1" fontId="15" fillId="0" borderId="0" xfId="15" applyFont="1" applyBorder="1">
      <alignment horizontal="center"/>
    </xf>
    <xf numFmtId="0" fontId="22" fillId="5" borderId="0" xfId="19" applyFont="1" applyFill="1" applyBorder="1">
      <alignment horizontal="left" vertical="top" indent="1"/>
    </xf>
    <xf numFmtId="0" fontId="15" fillId="0" borderId="0" xfId="5" applyFont="1" applyBorder="1" applyAlignment="1">
      <alignment horizontal="left" indent="1"/>
    </xf>
    <xf numFmtId="0" fontId="18" fillId="0" borderId="0" xfId="0" applyFont="1" applyAlignment="1">
      <alignment horizontal="left" vertical="center" wrapText="1"/>
    </xf>
    <xf numFmtId="0" fontId="15" fillId="5" borderId="19" xfId="17" applyFont="1" applyFill="1" applyBorder="1" applyAlignment="1" applyProtection="1">
      <alignment horizontal="left" vertical="center" indent="1"/>
    </xf>
    <xf numFmtId="0" fontId="0" fillId="5" borderId="24" xfId="0" applyFill="1" applyBorder="1">
      <alignment wrapText="1"/>
    </xf>
    <xf numFmtId="0" fontId="7" fillId="0" borderId="0" xfId="5" applyBorder="1" applyAlignment="1">
      <alignment horizontal="left" indent="1"/>
    </xf>
    <xf numFmtId="1" fontId="9" fillId="0" borderId="0" xfId="15" applyBorder="1">
      <alignment horizontal="center"/>
    </xf>
    <xf numFmtId="0" fontId="11" fillId="0" borderId="0" xfId="0" applyFont="1" applyAlignment="1">
      <alignment vertical="center" wrapText="1"/>
    </xf>
    <xf numFmtId="0" fontId="12" fillId="0" borderId="0" xfId="3" applyFont="1">
      <alignment horizontal="left" vertical="center" indent="2"/>
    </xf>
    <xf numFmtId="0" fontId="0" fillId="0" borderId="0" xfId="0" applyAlignment="1">
      <alignment vertical="center"/>
    </xf>
    <xf numFmtId="0" fontId="19" fillId="0" borderId="0" xfId="5" applyFont="1" applyBorder="1" applyAlignment="1">
      <alignment horizontal="left" indent="1"/>
    </xf>
    <xf numFmtId="1" fontId="13" fillId="0" borderId="0" xfId="15" applyFont="1" applyBorder="1">
      <alignment horizontal="center"/>
    </xf>
    <xf numFmtId="0" fontId="20" fillId="0" borderId="0" xfId="5" applyFont="1" applyBorder="1" applyAlignment="1">
      <alignment horizontal="left" vertical="center" indent="2"/>
    </xf>
    <xf numFmtId="1" fontId="20" fillId="0" borderId="0" xfId="15" applyFont="1" applyBorder="1" applyAlignment="1">
      <alignment horizontal="center" vertical="center"/>
    </xf>
    <xf numFmtId="0" fontId="15" fillId="0" borderId="0" xfId="5" applyFont="1" applyBorder="1" applyAlignment="1">
      <alignment horizontal="left" indent="4"/>
    </xf>
    <xf numFmtId="0" fontId="18" fillId="0" borderId="0" xfId="16" applyFont="1" applyBorder="1" applyAlignment="1">
      <alignment vertical="center" wrapText="1"/>
    </xf>
    <xf numFmtId="0" fontId="20" fillId="5" borderId="13" xfId="17" applyFont="1" applyFill="1" applyBorder="1" applyAlignment="1" applyProtection="1">
      <alignment vertical="center"/>
    </xf>
    <xf numFmtId="0" fontId="20" fillId="5" borderId="18" xfId="17" applyFont="1" applyFill="1" applyBorder="1" applyAlignment="1" applyProtection="1">
      <alignment vertical="center"/>
    </xf>
    <xf numFmtId="14" fontId="20" fillId="5" borderId="13" xfId="12" applyNumberFormat="1" applyFont="1" applyFill="1" applyBorder="1" applyAlignment="1">
      <alignment vertical="center"/>
    </xf>
    <xf numFmtId="0" fontId="24" fillId="0" borderId="0" xfId="0" applyFont="1" applyAlignment="1">
      <alignment horizontal="left" wrapText="1" indent="1"/>
    </xf>
    <xf numFmtId="0" fontId="24" fillId="0" borderId="0" xfId="0" applyFont="1">
      <alignment wrapText="1"/>
    </xf>
    <xf numFmtId="169" fontId="27" fillId="0" borderId="0" xfId="2" applyFont="1" applyBorder="1" applyAlignment="1" applyProtection="1">
      <alignment horizontal="left" vertical="center"/>
    </xf>
    <xf numFmtId="14" fontId="27" fillId="5" borderId="0" xfId="12" applyNumberFormat="1" applyFont="1" applyFill="1" applyBorder="1" applyAlignment="1">
      <alignment vertical="center"/>
    </xf>
    <xf numFmtId="20" fontId="15" fillId="8" borderId="0" xfId="21" applyFont="1" applyFill="1" applyBorder="1" applyProtection="1">
      <alignment horizontal="left" indent="1"/>
      <protection locked="0"/>
    </xf>
    <xf numFmtId="0" fontId="22" fillId="8" borderId="6" xfId="19" applyFont="1" applyFill="1" applyBorder="1" applyProtection="1">
      <alignment horizontal="left" vertical="top" indent="1"/>
      <protection locked="0"/>
    </xf>
    <xf numFmtId="14" fontId="28" fillId="5" borderId="10" xfId="12" applyNumberFormat="1" applyFont="1" applyFill="1" applyBorder="1" applyAlignment="1">
      <alignment horizontal="center" vertical="center"/>
    </xf>
    <xf numFmtId="14" fontId="28" fillId="5" borderId="13" xfId="12" applyNumberFormat="1" applyFont="1" applyFill="1" applyBorder="1" applyAlignment="1">
      <alignment horizontal="center" vertical="center"/>
    </xf>
    <xf numFmtId="14" fontId="28" fillId="5" borderId="11" xfId="12" applyNumberFormat="1" applyFont="1" applyFill="1" applyBorder="1" applyAlignment="1">
      <alignment horizontal="center" vertical="center"/>
    </xf>
    <xf numFmtId="14" fontId="28" fillId="5" borderId="0" xfId="12" applyNumberFormat="1" applyFont="1" applyFill="1" applyBorder="1" applyAlignment="1">
      <alignment horizontal="center" vertical="center"/>
    </xf>
    <xf numFmtId="14" fontId="20" fillId="5" borderId="13" xfId="12" applyNumberFormat="1" applyFont="1" applyFill="1" applyBorder="1" applyAlignment="1">
      <alignment horizontal="center" vertical="center"/>
    </xf>
    <xf numFmtId="14" fontId="20" fillId="5" borderId="18" xfId="12" applyNumberFormat="1" applyFont="1" applyFill="1" applyBorder="1" applyAlignment="1">
      <alignment horizontal="center" vertical="center"/>
    </xf>
    <xf numFmtId="0" fontId="12" fillId="0" borderId="0" xfId="1" applyFont="1" applyBorder="1" applyAlignment="1" applyProtection="1">
      <alignment horizontal="left" vertical="top"/>
    </xf>
    <xf numFmtId="0" fontId="26" fillId="0" borderId="18" xfId="5" applyFont="1" applyBorder="1" applyAlignment="1">
      <alignment horizontal="left"/>
    </xf>
    <xf numFmtId="0" fontId="19" fillId="8" borderId="22" xfId="5" applyFont="1" applyFill="1" applyBorder="1" applyAlignment="1" applyProtection="1">
      <alignment horizontal="center"/>
      <protection locked="0"/>
    </xf>
    <xf numFmtId="0" fontId="19" fillId="8" borderId="25" xfId="5" applyFont="1" applyFill="1" applyBorder="1" applyAlignment="1" applyProtection="1">
      <alignment horizontal="center"/>
      <protection locked="0"/>
    </xf>
    <xf numFmtId="0" fontId="19" fillId="8" borderId="23" xfId="5" applyFont="1" applyFill="1" applyBorder="1" applyAlignment="1" applyProtection="1">
      <alignment horizontal="center"/>
      <protection locked="0"/>
    </xf>
    <xf numFmtId="0" fontId="25" fillId="0" borderId="0" xfId="1" applyFont="1" applyBorder="1" applyAlignment="1" applyProtection="1">
      <alignment horizontal="left" vertical="top"/>
    </xf>
  </cellXfs>
  <cellStyles count="22">
    <cellStyle name="Bottom Border" xfId="16" xr:uid="{00000000-0005-0000-0000-000000000000}"/>
    <cellStyle name="Calendar alignment" xfId="18" xr:uid="{00000000-0005-0000-0000-000001000000}"/>
    <cellStyle name="Comma" xfId="6" builtinId="3" customBuiltin="1"/>
    <cellStyle name="Comma [0]" xfId="7" builtinId="6" customBuiltin="1"/>
    <cellStyle name="Currency" xfId="8" builtinId="4" customBuiltin="1"/>
    <cellStyle name="Currency [0]" xfId="9" builtinId="7" customBuiltin="1"/>
    <cellStyle name="Date" xfId="15" xr:uid="{00000000-0005-0000-0000-000006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Label" xfId="13" xr:uid="{00000000-0005-0000-0000-00000B000000}"/>
    <cellStyle name="Normal" xfId="0" builtinId="0" customBuiltin="1"/>
    <cellStyle name="Note" xfId="11" builtinId="10" customBuiltin="1"/>
    <cellStyle name="Percent" xfId="10" builtinId="5" customBuiltin="1"/>
    <cellStyle name="Right Border" xfId="17" xr:uid="{00000000-0005-0000-0000-00000F000000}"/>
    <cellStyle name="Table heading blank" xfId="20" xr:uid="{00000000-0005-0000-0000-000010000000}"/>
    <cellStyle name="Time" xfId="21" xr:uid="{00000000-0005-0000-0000-000011000000}"/>
    <cellStyle name="Title" xfId="1" builtinId="15" customBuiltin="1"/>
    <cellStyle name="Top Border" xfId="14" xr:uid="{00000000-0005-0000-0000-000013000000}"/>
    <cellStyle name="Weekdays" xfId="12" xr:uid="{00000000-0005-0000-0000-000014000000}"/>
    <cellStyle name="Weekly Schedule Fill" xfId="19" xr:uid="{00000000-0005-0000-0000-000015000000}"/>
  </cellStyles>
  <dxfs count="241"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border>
        <left/>
        <vertical/>
        <horizontal/>
      </border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border>
        <left/>
        <vertical/>
        <horizontal/>
      </border>
    </dxf>
    <dxf>
      <border>
        <left/>
        <vertical/>
        <horizontal/>
      </border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border>
        <left/>
        <vertical/>
        <horizontal/>
      </border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border>
        <left/>
        <vertical/>
        <horizontal/>
      </border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border>
        <left/>
        <vertical/>
        <horizontal/>
      </border>
    </dxf>
    <dxf>
      <border>
        <left/>
        <vertical/>
        <horizontal/>
      </border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border>
        <left/>
        <vertical/>
        <horizontal/>
      </border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border>
        <left/>
        <vertical/>
        <horizontal/>
      </border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border>
        <left/>
        <vertical/>
        <horizontal/>
      </border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border>
        <left/>
        <vertical/>
        <horizontal/>
      </border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border>
        <left/>
        <vertical/>
        <horizontal/>
      </border>
    </dxf>
    <dxf>
      <border>
        <left/>
        <vertical/>
        <horizontal/>
      </border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border>
        <left/>
        <vertical/>
        <horizontal/>
      </border>
    </dxf>
    <dxf>
      <font>
        <color theme="0" tint="-0.24994659260841701"/>
      </font>
    </dxf>
    <dxf>
      <font>
        <color theme="1"/>
      </font>
      <fill>
        <patternFill patternType="solid">
          <bgColor theme="0"/>
        </patternFill>
      </fill>
    </dxf>
    <dxf>
      <font>
        <b/>
        <i val="0"/>
        <color theme="1"/>
      </font>
      <fill>
        <patternFill>
          <bgColor rgb="FFC6EFCE"/>
        </patternFill>
      </fill>
    </dxf>
    <dxf>
      <font>
        <color theme="0" tint="-0.24994659260841701"/>
      </font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border>
        <left/>
        <vertical/>
        <horizontal/>
      </border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8" tint="0.39994506668294322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border>
        <left/>
        <vertical/>
        <horizontal/>
      </border>
    </dxf>
    <dxf>
      <fill>
        <patternFill>
          <bgColor theme="6" tint="0.79998168889431442"/>
        </patternFill>
      </fill>
    </dxf>
    <dxf>
      <font>
        <b/>
        <i val="0"/>
        <color theme="4" tint="-0.499984740745262"/>
      </font>
      <border diagonalUp="0" diagonalDown="0">
        <left style="thin">
          <color theme="4" tint="-0.499984740745262"/>
        </left>
        <right/>
        <top/>
        <bottom style="thin">
          <color theme="4" tint="-0.499984740745262"/>
        </bottom>
        <vertical/>
        <horizontal/>
      </border>
    </dxf>
    <dxf>
      <font>
        <b/>
        <i val="0"/>
        <color theme="4" tint="-0.499984740745262"/>
      </font>
      <border diagonalUp="0" diagonalDown="0">
        <left/>
        <right/>
        <top/>
        <bottom style="thin">
          <color theme="4" tint="-0.499984740745262"/>
        </bottom>
        <vertical/>
        <horizontal/>
      </border>
    </dxf>
    <dxf>
      <border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horizontal style="thin">
          <color theme="5" tint="-0.499984740745262"/>
        </horizontal>
      </border>
    </dxf>
  </dxfs>
  <tableStyles count="1" defaultTableStyle="Assignments" defaultPivotStyle="PivotStyleLight16">
    <tableStyle name="Assignments" pivot="0" count="3" xr9:uid="{00000000-0011-0000-FFFF-FFFF00000000}">
      <tableStyleElement type="wholeTable" dxfId="240"/>
      <tableStyleElement type="headerRow" dxfId="239"/>
      <tableStyleElement type="firstColumn" dxfId="238"/>
    </tableStyle>
  </tableStyles>
  <colors>
    <mruColors>
      <color rgb="FFEFFFEF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10_college_cal">
  <a:themeElements>
    <a:clrScheme name="Custom 254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39B5D4"/>
      </a:accent1>
      <a:accent2>
        <a:srgbClr val="FFCCCC"/>
      </a:accent2>
      <a:accent3>
        <a:srgbClr val="4DBB68"/>
      </a:accent3>
      <a:accent4>
        <a:srgbClr val="FBD55D"/>
      </a:accent4>
      <a:accent5>
        <a:srgbClr val="FF9900"/>
      </a:accent5>
      <a:accent6>
        <a:srgbClr val="AC75D5"/>
      </a:accent6>
      <a:hlink>
        <a:srgbClr val="57B5D4"/>
      </a:hlink>
      <a:folHlink>
        <a:srgbClr val="BA4F8B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1277-D1B5-4DD7-8D38-A795155A7DD4}">
  <sheetPr>
    <tabColor theme="8" tint="0.39997558519241921"/>
    <pageSetUpPr fitToPage="1"/>
  </sheetPr>
  <dimension ref="A1:U84"/>
  <sheetViews>
    <sheetView showGridLines="0" tabSelected="1" zoomScale="60" zoomScaleNormal="60" zoomScalePageLayoutView="84" workbookViewId="0">
      <selection activeCell="N15" sqref="N15:Q15"/>
    </sheetView>
  </sheetViews>
  <sheetFormatPr defaultColWidth="8.59765625" defaultRowHeight="30" customHeight="1" x14ac:dyDescent="0.25"/>
  <cols>
    <col min="1" max="2" width="5.59765625" customWidth="1"/>
    <col min="3" max="3" width="2.59765625" customWidth="1"/>
    <col min="4" max="4" width="18.5" customWidth="1"/>
    <col min="5" max="11" width="24.59765625" customWidth="1"/>
    <col min="12" max="12" width="2.59765625" customWidth="1"/>
    <col min="13" max="13" width="5.59765625" style="11" customWidth="1"/>
    <col min="14" max="14" width="12.59765625" style="50" customWidth="1"/>
    <col min="15" max="15" width="5.59765625" style="50" customWidth="1"/>
    <col min="16" max="16" width="2.59765625" customWidth="1"/>
    <col min="17" max="17" width="70.59765625" style="12" customWidth="1"/>
    <col min="18" max="19" width="5.59765625" customWidth="1"/>
  </cols>
  <sheetData>
    <row r="1" spans="1:19" ht="30" customHeight="1" x14ac:dyDescent="0.25">
      <c r="A1" s="4"/>
      <c r="B1" s="4"/>
      <c r="C1" s="4"/>
      <c r="D1" s="5"/>
      <c r="E1" s="4"/>
      <c r="F1" s="4"/>
      <c r="G1" s="4"/>
      <c r="H1" s="4"/>
      <c r="I1" s="4"/>
      <c r="J1" s="4"/>
      <c r="K1" s="4"/>
      <c r="L1" s="4"/>
      <c r="M1" s="6"/>
      <c r="N1" s="7"/>
      <c r="O1" s="7"/>
      <c r="P1" s="4"/>
      <c r="Q1" s="8"/>
      <c r="R1" s="4"/>
      <c r="S1" s="4"/>
    </row>
    <row r="2" spans="1:19" ht="30" customHeight="1" thickBot="1" x14ac:dyDescent="0.3">
      <c r="A2" s="9"/>
      <c r="D2" s="10"/>
      <c r="E2" s="10"/>
      <c r="F2" s="10"/>
      <c r="G2" s="10"/>
      <c r="H2" s="10"/>
      <c r="I2" s="10"/>
      <c r="J2" s="10"/>
      <c r="K2" s="10"/>
      <c r="N2" s="82"/>
      <c r="O2" s="82"/>
      <c r="P2" s="83"/>
      <c r="Q2" s="83"/>
      <c r="S2" s="13"/>
    </row>
    <row r="3" spans="1:19" ht="30" customHeight="1" thickTop="1" x14ac:dyDescent="0.3">
      <c r="A3" s="9"/>
      <c r="C3" s="14"/>
      <c r="D3" s="15"/>
      <c r="E3" s="15"/>
      <c r="F3" s="15"/>
      <c r="G3" s="15"/>
      <c r="H3" s="15"/>
      <c r="I3" s="15"/>
      <c r="J3" s="15"/>
      <c r="K3" s="15"/>
      <c r="L3" s="16"/>
      <c r="N3" s="68"/>
      <c r="O3" s="64"/>
      <c r="P3" s="69"/>
      <c r="Q3" s="70"/>
      <c r="S3" s="13"/>
    </row>
    <row r="4" spans="1:19" ht="35.1" customHeight="1" x14ac:dyDescent="0.25">
      <c r="A4" s="9"/>
      <c r="C4" s="17"/>
      <c r="D4" s="1" t="s">
        <v>0</v>
      </c>
      <c r="E4" s="18" t="s">
        <v>1</v>
      </c>
      <c r="F4" s="18" t="s">
        <v>2</v>
      </c>
      <c r="G4" s="18" t="s">
        <v>3</v>
      </c>
      <c r="H4" s="18" t="s">
        <v>4</v>
      </c>
      <c r="I4" s="18" t="s">
        <v>5</v>
      </c>
      <c r="J4" s="18" t="s">
        <v>6</v>
      </c>
      <c r="K4" s="18" t="s">
        <v>7</v>
      </c>
      <c r="L4" s="19"/>
      <c r="N4" s="71"/>
      <c r="O4" s="69"/>
      <c r="P4" s="69"/>
      <c r="Q4" s="72"/>
      <c r="S4" s="13"/>
    </row>
    <row r="5" spans="1:19" ht="30" customHeight="1" x14ac:dyDescent="0.3">
      <c r="A5" s="20"/>
      <c r="B5" s="21"/>
      <c r="C5" s="22"/>
      <c r="D5" s="94">
        <f ca="1">IF(MONTH(TODAY())=12,YEAR(TODAY())+1,YEAR(TODAY()))</f>
        <v>2026</v>
      </c>
      <c r="E5" s="23">
        <f ca="1">IF(DAY(JanSun1)=1,JanSun1-6,JanSun1+1)</f>
        <v>46020</v>
      </c>
      <c r="F5" s="23">
        <f ca="1">IF(DAY(JanSun1)=1,JanSun1-5,JanSun1+2)</f>
        <v>46021</v>
      </c>
      <c r="G5" s="23">
        <f ca="1">IF(DAY(JanSun1)=1,JanSun1-4,JanSun1+3)</f>
        <v>46022</v>
      </c>
      <c r="H5" s="23">
        <f ca="1">IF(DAY(JanSun1)=1,JanSun1-3,JanSun1+4)</f>
        <v>46023</v>
      </c>
      <c r="I5" s="23">
        <f ca="1">IF(DAY(JanSun1)=1,JanSun1-2,JanSun1+5)</f>
        <v>46024</v>
      </c>
      <c r="J5" s="23">
        <f ca="1">IF(DAY(JanSun1)=1,JanSun1-1,JanSun1+6)</f>
        <v>46025</v>
      </c>
      <c r="K5" s="23">
        <f ca="1">IF(DAY(JanSun1)=1,JanSun1,JanSun1+7)</f>
        <v>46026</v>
      </c>
      <c r="L5" s="24"/>
      <c r="M5" s="25"/>
      <c r="N5" s="68"/>
      <c r="O5" s="69"/>
      <c r="P5" s="69"/>
      <c r="Q5" s="70"/>
      <c r="S5" s="13"/>
    </row>
    <row r="6" spans="1:19" ht="30" customHeight="1" x14ac:dyDescent="0.3">
      <c r="A6" s="20"/>
      <c r="B6" s="21"/>
      <c r="C6" s="22"/>
      <c r="D6" s="94"/>
      <c r="E6" s="23">
        <f ca="1">IF(DAY(JanSun1)=1,JanSun1+1,JanSun1+8)</f>
        <v>46027</v>
      </c>
      <c r="F6" s="23">
        <f ca="1">IF(DAY(JanSun1)=1,JanSun1+2,JanSun1+9)</f>
        <v>46028</v>
      </c>
      <c r="G6" s="23">
        <f ca="1">IF(DAY(JanSun1)=1,JanSun1+3,JanSun1+10)</f>
        <v>46029</v>
      </c>
      <c r="H6" s="23">
        <f ca="1">IF(DAY(JanSun1)=1,JanSun1+4,JanSun1+11)</f>
        <v>46030</v>
      </c>
      <c r="I6" s="23">
        <f ca="1">IF(DAY(JanSun1)=1,JanSun1+5,JanSun1+12)</f>
        <v>46031</v>
      </c>
      <c r="J6" s="23">
        <f ca="1">IF(DAY(JanSun1)=1,JanSun1+6,JanSun1+13)</f>
        <v>46032</v>
      </c>
      <c r="K6" s="23">
        <f ca="1">IF(DAY(JanSun1)=1,JanSun1+7,JanSun1+14)</f>
        <v>46033</v>
      </c>
      <c r="L6" s="24"/>
      <c r="M6" s="26"/>
      <c r="N6" s="73"/>
      <c r="O6" s="74"/>
      <c r="P6" s="74"/>
      <c r="Q6" s="70"/>
      <c r="S6" s="13"/>
    </row>
    <row r="7" spans="1:19" ht="30" customHeight="1" x14ac:dyDescent="0.25">
      <c r="A7" s="20"/>
      <c r="B7" s="21"/>
      <c r="C7" s="22"/>
      <c r="D7" s="27"/>
      <c r="E7" s="23">
        <f ca="1">IF(DAY(JanSun1)=1,JanSun1+8,JanSun1+15)</f>
        <v>46034</v>
      </c>
      <c r="F7" s="23">
        <f ca="1">IF(DAY(JanSun1)=1,JanSun1+9,JanSun1+16)</f>
        <v>46035</v>
      </c>
      <c r="G7" s="23">
        <f ca="1">IF(DAY(JanSun1)=1,JanSun1+10,JanSun1+17)</f>
        <v>46036</v>
      </c>
      <c r="H7" s="23">
        <f ca="1">IF(DAY(JanSun1)=1,JanSun1+11,JanSun1+18)</f>
        <v>46037</v>
      </c>
      <c r="I7" s="23">
        <f ca="1">IF(DAY(JanSun1)=1,JanSun1+12,JanSun1+19)</f>
        <v>46038</v>
      </c>
      <c r="J7" s="23">
        <f ca="1">IF(DAY(JanSun1)=1,JanSun1+13,JanSun1+20)</f>
        <v>46039</v>
      </c>
      <c r="K7" s="23">
        <f ca="1">IF(DAY(JanSun1)=1,JanSun1+14,JanSun1+21)</f>
        <v>46040</v>
      </c>
      <c r="L7" s="24"/>
      <c r="M7" s="26"/>
      <c r="N7" s="75"/>
      <c r="O7" s="76"/>
      <c r="P7" s="76"/>
      <c r="Q7" s="65"/>
      <c r="S7" s="13"/>
    </row>
    <row r="8" spans="1:19" ht="30" customHeight="1" x14ac:dyDescent="0.3">
      <c r="A8" s="20"/>
      <c r="B8" s="21"/>
      <c r="C8" s="22"/>
      <c r="D8" s="27"/>
      <c r="E8" s="28">
        <f ca="1">IF(DAY(JanSun1)=1,JanSun1+15,JanSun1+22)</f>
        <v>46041</v>
      </c>
      <c r="F8" s="28">
        <f ca="1">IF(DAY(JanSun1)=1,JanSun1+16,JanSun1+23)</f>
        <v>46042</v>
      </c>
      <c r="G8" s="28">
        <f ca="1">IF(DAY(JanSun1)=1,JanSun1+17,JanSun1+24)</f>
        <v>46043</v>
      </c>
      <c r="H8" s="28">
        <f ca="1">IF(DAY(JanSun1)=1,JanSun1+18,JanSun1+25)</f>
        <v>46044</v>
      </c>
      <c r="I8" s="28">
        <f ca="1">IF(DAY(JanSun1)=1,JanSun1+19,JanSun1+26)</f>
        <v>46045</v>
      </c>
      <c r="J8" s="28">
        <f ca="1">IF(DAY(JanSun1)=1,JanSun1+20,JanSun1+27)</f>
        <v>46046</v>
      </c>
      <c r="K8" s="28">
        <f ca="1">IF(DAY(JanSun1)=1,JanSun1+21,JanSun1+28)</f>
        <v>46047</v>
      </c>
      <c r="L8" s="24"/>
      <c r="M8" s="26"/>
      <c r="N8" s="77"/>
      <c r="O8" s="62"/>
      <c r="P8" s="62"/>
      <c r="Q8" s="65"/>
      <c r="S8" s="13"/>
    </row>
    <row r="9" spans="1:19" ht="30" customHeight="1" x14ac:dyDescent="0.3">
      <c r="A9" s="20"/>
      <c r="B9" s="21"/>
      <c r="C9" s="22"/>
      <c r="D9" s="27"/>
      <c r="E9" s="23">
        <f ca="1">IF(DAY(JanSun1)=1,JanSun1+22,JanSun1+29)</f>
        <v>46048</v>
      </c>
      <c r="F9" s="23">
        <f ca="1">IF(DAY(JanSun1)=1,JanSun1+23,JanSun1+30)</f>
        <v>46049</v>
      </c>
      <c r="G9" s="23">
        <f ca="1">IF(DAY(JanSun1)=1,JanSun1+24,JanSun1+31)</f>
        <v>46050</v>
      </c>
      <c r="H9" s="23">
        <f ca="1">IF(DAY(JanSun1)=1,JanSun1+25,JanSun1+32)</f>
        <v>46051</v>
      </c>
      <c r="I9" s="23">
        <f ca="1">IF(DAY(JanSun1)=1,JanSun1+26,JanSun1+33)</f>
        <v>46052</v>
      </c>
      <c r="J9" s="23">
        <f ca="1">IF(DAY(JanSun1)=1,JanSun1+27,JanSun1+34)</f>
        <v>46053</v>
      </c>
      <c r="K9" s="23">
        <f ca="1">IF(DAY(JanSun1)=1,JanSun1+28,JanSun1+35)</f>
        <v>46054</v>
      </c>
      <c r="L9" s="24"/>
      <c r="M9" s="26"/>
      <c r="N9" s="77"/>
      <c r="O9" s="62"/>
      <c r="P9" s="62"/>
      <c r="Q9" s="65"/>
      <c r="S9" s="13"/>
    </row>
    <row r="10" spans="1:19" ht="30" customHeight="1" x14ac:dyDescent="0.3">
      <c r="A10" s="20"/>
      <c r="B10" s="21"/>
      <c r="C10" s="22"/>
      <c r="D10" s="27"/>
      <c r="E10" s="29">
        <f ca="1">IF(DAY(JanSun1)=1,JanSun1+29,JanSun1+36)</f>
        <v>46055</v>
      </c>
      <c r="F10" s="29">
        <f ca="1">IF(DAY(JanSun1)=1,JanSun1+30,JanSun1+37)</f>
        <v>46056</v>
      </c>
      <c r="G10" s="29">
        <f ca="1">IF(DAY(JanSun1)=1,JanSun1+31,JanSun1+38)</f>
        <v>46057</v>
      </c>
      <c r="H10" s="29">
        <f ca="1">IF(DAY(JanSun1)=1,JanSun1+32,JanSun1+39)</f>
        <v>46058</v>
      </c>
      <c r="I10" s="29">
        <f ca="1">IF(DAY(JanSun1)=1,JanSun1+33,JanSun1+40)</f>
        <v>46059</v>
      </c>
      <c r="J10" s="29">
        <f ca="1">IF(DAY(JanSun1)=1,JanSun1+34,JanSun1+41)</f>
        <v>46060</v>
      </c>
      <c r="K10" s="29">
        <f ca="1">IF(DAY(JanSun1)=1,JanSun1+35,JanSun1+42)</f>
        <v>46061</v>
      </c>
      <c r="L10" s="30"/>
      <c r="M10" s="26"/>
      <c r="N10" s="77"/>
      <c r="O10" s="62"/>
      <c r="P10" s="62"/>
      <c r="Q10" s="78"/>
      <c r="S10" s="13"/>
    </row>
    <row r="11" spans="1:19" ht="30" customHeight="1" thickBot="1" x14ac:dyDescent="0.35">
      <c r="A11" s="20"/>
      <c r="B11" s="21"/>
      <c r="C11" s="31"/>
      <c r="D11" s="10"/>
      <c r="E11" s="10"/>
      <c r="F11" s="10"/>
      <c r="G11" s="10"/>
      <c r="H11" s="10"/>
      <c r="I11" s="10"/>
      <c r="J11" s="10"/>
      <c r="K11" s="10"/>
      <c r="L11" s="32"/>
      <c r="M11" s="33"/>
      <c r="N11" s="77"/>
      <c r="O11" s="62"/>
      <c r="P11" s="62"/>
      <c r="Q11" s="78"/>
      <c r="S11" s="13"/>
    </row>
    <row r="12" spans="1:19" ht="30" customHeight="1" thickTop="1" x14ac:dyDescent="0.25">
      <c r="A12" s="20"/>
      <c r="B12" s="21"/>
      <c r="C12" s="21"/>
      <c r="D12" s="34"/>
      <c r="E12" s="15"/>
      <c r="F12" s="15"/>
      <c r="G12" s="15"/>
      <c r="H12" s="15"/>
      <c r="I12" s="15"/>
      <c r="J12" s="15"/>
      <c r="K12" s="15"/>
      <c r="N12" s="75"/>
      <c r="O12" s="76"/>
      <c r="P12" s="76"/>
      <c r="Q12" s="65"/>
      <c r="S12" s="13"/>
    </row>
    <row r="13" spans="1:19" ht="30" customHeight="1" x14ac:dyDescent="0.25">
      <c r="A13" s="20"/>
      <c r="B13" s="21"/>
      <c r="C13" s="21"/>
      <c r="D13" s="2" t="s">
        <v>8</v>
      </c>
      <c r="E13" s="35"/>
      <c r="F13" s="35"/>
      <c r="G13" s="35"/>
      <c r="H13" s="35"/>
      <c r="I13" s="35"/>
      <c r="J13" s="35"/>
      <c r="K13" s="35"/>
      <c r="N13" s="75"/>
      <c r="O13" s="76"/>
      <c r="P13" s="76"/>
      <c r="Q13" s="65"/>
      <c r="S13" s="13"/>
    </row>
    <row r="14" spans="1:19" ht="30" customHeight="1" thickBot="1" x14ac:dyDescent="0.45">
      <c r="A14" s="20"/>
      <c r="B14" s="21"/>
      <c r="C14" s="21"/>
      <c r="D14" s="84"/>
      <c r="E14" s="37"/>
      <c r="F14" s="37"/>
      <c r="G14" s="37"/>
      <c r="H14" s="37"/>
      <c r="I14" s="37"/>
      <c r="J14" s="37"/>
      <c r="K14" s="37"/>
      <c r="L14" s="37"/>
      <c r="M14" s="36"/>
      <c r="N14" s="95" t="s">
        <v>20</v>
      </c>
      <c r="O14" s="95"/>
      <c r="P14" s="95"/>
      <c r="Q14" s="95"/>
      <c r="S14" s="13"/>
    </row>
    <row r="15" spans="1:19" ht="30" customHeight="1" thickTop="1" x14ac:dyDescent="0.3">
      <c r="A15" s="20"/>
      <c r="B15" s="38"/>
      <c r="C15" s="88" t="s">
        <v>20</v>
      </c>
      <c r="D15" s="89"/>
      <c r="E15" s="92"/>
      <c r="F15" s="92"/>
      <c r="G15" s="92"/>
      <c r="H15" s="92" t="str">
        <f t="shared" ref="H15:J15" ca="1" si="0">TEXT(H5, "ddd dd/mm")</f>
        <v>Thu 01/01</v>
      </c>
      <c r="I15" s="92" t="str">
        <f t="shared" ca="1" si="0"/>
        <v>Fri 02/01</v>
      </c>
      <c r="J15" s="92" t="str">
        <f t="shared" ca="1" si="0"/>
        <v>Sat 03/01</v>
      </c>
      <c r="K15" s="92" t="str">
        <f ca="1">TEXT(K5, "ddd dd/mm")</f>
        <v>Sun 04/01</v>
      </c>
      <c r="L15" s="39"/>
      <c r="M15" s="40"/>
      <c r="N15" s="96"/>
      <c r="O15" s="97"/>
      <c r="P15" s="97"/>
      <c r="Q15" s="98"/>
      <c r="S15" s="13"/>
    </row>
    <row r="16" spans="1:19" ht="30" customHeight="1" x14ac:dyDescent="0.3">
      <c r="A16" s="20"/>
      <c r="B16" s="38"/>
      <c r="C16" s="90"/>
      <c r="D16" s="91"/>
      <c r="E16" s="93"/>
      <c r="F16" s="93"/>
      <c r="G16" s="93"/>
      <c r="H16" s="93"/>
      <c r="I16" s="93"/>
      <c r="J16" s="93"/>
      <c r="K16" s="93"/>
      <c r="L16" s="41"/>
      <c r="N16" s="96"/>
      <c r="O16" s="97"/>
      <c r="P16" s="97"/>
      <c r="Q16" s="98"/>
      <c r="S16" s="13"/>
    </row>
    <row r="17" spans="1:19" ht="30" customHeight="1" x14ac:dyDescent="0.3">
      <c r="A17" s="20"/>
      <c r="B17" s="38"/>
      <c r="C17" s="42"/>
      <c r="D17" s="43"/>
      <c r="E17" s="86"/>
      <c r="F17" s="86"/>
      <c r="G17" s="86"/>
      <c r="H17" s="86"/>
      <c r="I17" s="86"/>
      <c r="J17" s="86"/>
      <c r="K17" s="86"/>
      <c r="L17" s="66"/>
      <c r="M17" s="67"/>
      <c r="N17" s="96"/>
      <c r="O17" s="97"/>
      <c r="P17" s="97"/>
      <c r="Q17" s="98"/>
      <c r="S17" s="13"/>
    </row>
    <row r="18" spans="1:19" ht="30" customHeight="1" x14ac:dyDescent="0.3">
      <c r="A18" s="20"/>
      <c r="B18" s="38"/>
      <c r="C18" s="42"/>
      <c r="D18" s="43"/>
      <c r="E18" s="86"/>
      <c r="F18" s="86"/>
      <c r="G18" s="86"/>
      <c r="H18" s="86"/>
      <c r="I18" s="86"/>
      <c r="J18" s="86"/>
      <c r="K18" s="86"/>
      <c r="L18" s="44"/>
      <c r="N18" s="96"/>
      <c r="O18" s="97"/>
      <c r="P18" s="97"/>
      <c r="Q18" s="98"/>
      <c r="S18" s="13"/>
    </row>
    <row r="19" spans="1:19" ht="30" customHeight="1" x14ac:dyDescent="0.3">
      <c r="A19" s="20"/>
      <c r="B19" s="38"/>
      <c r="C19" s="42"/>
      <c r="D19" s="43"/>
      <c r="E19" s="86"/>
      <c r="F19" s="86"/>
      <c r="G19" s="86"/>
      <c r="H19" s="86"/>
      <c r="I19" s="86"/>
      <c r="J19" s="86"/>
      <c r="K19" s="86"/>
      <c r="L19" s="45"/>
      <c r="N19" s="96"/>
      <c r="O19" s="97"/>
      <c r="P19" s="97"/>
      <c r="Q19" s="98"/>
      <c r="S19" s="13"/>
    </row>
    <row r="20" spans="1:19" ht="30" customHeight="1" x14ac:dyDescent="0.3">
      <c r="A20" s="20"/>
      <c r="B20" s="38"/>
      <c r="C20" s="42"/>
      <c r="D20" s="43"/>
      <c r="E20" s="86"/>
      <c r="F20" s="86"/>
      <c r="G20" s="86"/>
      <c r="H20" s="86"/>
      <c r="I20" s="86"/>
      <c r="J20" s="86"/>
      <c r="K20" s="86"/>
      <c r="L20" s="44"/>
      <c r="N20" s="96"/>
      <c r="O20" s="97"/>
      <c r="P20" s="97"/>
      <c r="Q20" s="98"/>
      <c r="S20" s="13"/>
    </row>
    <row r="21" spans="1:19" ht="30" customHeight="1" x14ac:dyDescent="0.3">
      <c r="A21" s="20"/>
      <c r="B21" s="38"/>
      <c r="C21" s="42"/>
      <c r="D21" s="43"/>
      <c r="E21" s="86"/>
      <c r="F21" s="86"/>
      <c r="G21" s="86"/>
      <c r="H21" s="86"/>
      <c r="I21" s="86"/>
      <c r="J21" s="86"/>
      <c r="K21" s="86"/>
      <c r="L21" s="45"/>
      <c r="N21" s="96"/>
      <c r="O21" s="97"/>
      <c r="P21" s="97"/>
      <c r="Q21" s="98"/>
      <c r="S21" s="13"/>
    </row>
    <row r="22" spans="1:19" ht="30" customHeight="1" x14ac:dyDescent="0.3">
      <c r="A22" s="20"/>
      <c r="B22" s="38"/>
      <c r="C22" s="42"/>
      <c r="D22" s="43"/>
      <c r="E22" s="86"/>
      <c r="F22" s="86"/>
      <c r="G22" s="86"/>
      <c r="H22" s="86"/>
      <c r="I22" s="86"/>
      <c r="J22" s="86"/>
      <c r="K22" s="86"/>
      <c r="L22" s="44"/>
      <c r="N22" s="96"/>
      <c r="O22" s="97"/>
      <c r="P22" s="97"/>
      <c r="Q22" s="98"/>
      <c r="S22" s="13"/>
    </row>
    <row r="23" spans="1:19" ht="30" customHeight="1" x14ac:dyDescent="0.3">
      <c r="A23" s="20"/>
      <c r="B23" s="38"/>
      <c r="C23" s="42"/>
      <c r="D23" s="43"/>
      <c r="E23" s="86"/>
      <c r="F23" s="86"/>
      <c r="G23" s="86"/>
      <c r="H23" s="86"/>
      <c r="I23" s="86"/>
      <c r="J23" s="86"/>
      <c r="K23" s="86"/>
      <c r="L23" s="45"/>
      <c r="N23" s="96"/>
      <c r="O23" s="97"/>
      <c r="P23" s="97"/>
      <c r="Q23" s="98"/>
      <c r="S23" s="13"/>
    </row>
    <row r="24" spans="1:19" ht="30" customHeight="1" x14ac:dyDescent="0.3">
      <c r="A24" s="20"/>
      <c r="B24" s="38"/>
      <c r="C24" s="42"/>
      <c r="D24" s="43"/>
      <c r="E24" s="86"/>
      <c r="F24" s="86"/>
      <c r="G24" s="86"/>
      <c r="H24" s="86"/>
      <c r="I24" s="86"/>
      <c r="J24" s="86"/>
      <c r="K24" s="86"/>
      <c r="L24" s="46"/>
      <c r="N24" s="96"/>
      <c r="O24" s="97"/>
      <c r="P24" s="97"/>
      <c r="Q24" s="98"/>
      <c r="S24" s="13"/>
    </row>
    <row r="25" spans="1:19" ht="30" customHeight="1" x14ac:dyDescent="0.3">
      <c r="A25" s="20"/>
      <c r="B25" s="38"/>
      <c r="C25" s="42"/>
      <c r="D25" s="43"/>
      <c r="E25" s="86"/>
      <c r="F25" s="86"/>
      <c r="G25" s="86"/>
      <c r="H25" s="86"/>
      <c r="I25" s="86"/>
      <c r="J25" s="86"/>
      <c r="K25" s="86"/>
      <c r="L25" s="46"/>
      <c r="N25" s="96"/>
      <c r="O25" s="97"/>
      <c r="P25" s="97"/>
      <c r="Q25" s="98"/>
      <c r="S25" s="13"/>
    </row>
    <row r="26" spans="1:19" ht="30" customHeight="1" thickBot="1" x14ac:dyDescent="0.35">
      <c r="A26" s="20"/>
      <c r="B26" s="38"/>
      <c r="C26" s="47"/>
      <c r="D26" s="48"/>
      <c r="E26" s="87"/>
      <c r="F26" s="87"/>
      <c r="G26" s="87"/>
      <c r="H26" s="87"/>
      <c r="I26" s="87"/>
      <c r="J26" s="87"/>
      <c r="K26" s="87"/>
      <c r="L26" s="49"/>
      <c r="N26" s="96"/>
      <c r="O26" s="97"/>
      <c r="P26" s="97"/>
      <c r="Q26" s="98"/>
      <c r="S26" s="13"/>
    </row>
    <row r="27" spans="1:19" ht="30" customHeight="1" thickTop="1" x14ac:dyDescent="0.3">
      <c r="A27" s="20"/>
      <c r="B27" s="38"/>
      <c r="C27" s="38"/>
      <c r="D27" s="63"/>
      <c r="E27" s="63"/>
      <c r="F27" s="63"/>
      <c r="G27" s="63"/>
      <c r="H27" s="63"/>
      <c r="I27" s="63"/>
      <c r="J27" s="63"/>
      <c r="K27" s="63"/>
      <c r="L27" s="63"/>
      <c r="N27" s="64"/>
      <c r="O27" s="64"/>
      <c r="P27" s="62"/>
      <c r="Q27" s="65"/>
      <c r="S27" s="13"/>
    </row>
    <row r="28" spans="1:19" ht="30" customHeight="1" thickBot="1" x14ac:dyDescent="0.45">
      <c r="A28" s="20"/>
      <c r="B28" s="21"/>
      <c r="C28" s="21"/>
      <c r="D28" s="84"/>
      <c r="E28" s="37"/>
      <c r="F28" s="37"/>
      <c r="G28" s="37"/>
      <c r="H28" s="37"/>
      <c r="I28" s="37"/>
      <c r="J28" s="37"/>
      <c r="K28" s="37"/>
      <c r="L28" s="37"/>
      <c r="M28" s="36"/>
      <c r="N28" s="95" t="s">
        <v>21</v>
      </c>
      <c r="O28" s="95"/>
      <c r="P28" s="95"/>
      <c r="Q28" s="95"/>
      <c r="S28" s="13"/>
    </row>
    <row r="29" spans="1:19" ht="30" customHeight="1" thickTop="1" x14ac:dyDescent="0.3">
      <c r="A29" s="20"/>
      <c r="B29" s="38"/>
      <c r="C29" s="88" t="s">
        <v>21</v>
      </c>
      <c r="D29" s="89"/>
      <c r="E29" s="92" t="str">
        <f ca="1">TEXT(E6, "ddd dd/mm")</f>
        <v>Mon 05/01</v>
      </c>
      <c r="F29" s="92" t="str">
        <f t="shared" ref="F29:K29" ca="1" si="1">TEXT(F6, "ddd dd/mm")</f>
        <v>Tue 06/01</v>
      </c>
      <c r="G29" s="92" t="str">
        <f t="shared" ca="1" si="1"/>
        <v>Wed 07/01</v>
      </c>
      <c r="H29" s="92" t="str">
        <f t="shared" ca="1" si="1"/>
        <v>Thu 08/01</v>
      </c>
      <c r="I29" s="92" t="str">
        <f t="shared" ca="1" si="1"/>
        <v>Fri 09/01</v>
      </c>
      <c r="J29" s="92" t="str">
        <f t="shared" ca="1" si="1"/>
        <v>Sat 10/01</v>
      </c>
      <c r="K29" s="92" t="str">
        <f t="shared" ca="1" si="1"/>
        <v>Sun 11/01</v>
      </c>
      <c r="L29" s="39"/>
      <c r="M29" s="40"/>
      <c r="N29" s="96"/>
      <c r="O29" s="97"/>
      <c r="P29" s="97"/>
      <c r="Q29" s="98"/>
      <c r="S29" s="13"/>
    </row>
    <row r="30" spans="1:19" ht="30" customHeight="1" x14ac:dyDescent="0.3">
      <c r="A30" s="20"/>
      <c r="B30" s="38"/>
      <c r="C30" s="90"/>
      <c r="D30" s="91"/>
      <c r="E30" s="93"/>
      <c r="F30" s="93"/>
      <c r="G30" s="93"/>
      <c r="H30" s="93"/>
      <c r="I30" s="93"/>
      <c r="J30" s="93"/>
      <c r="K30" s="93"/>
      <c r="L30" s="41"/>
      <c r="N30" s="96"/>
      <c r="O30" s="97"/>
      <c r="P30" s="97"/>
      <c r="Q30" s="98"/>
      <c r="S30" s="13"/>
    </row>
    <row r="31" spans="1:19" ht="30" customHeight="1" x14ac:dyDescent="0.3">
      <c r="A31" s="20"/>
      <c r="B31" s="38"/>
      <c r="C31" s="42"/>
      <c r="D31" s="43"/>
      <c r="E31" s="86"/>
      <c r="F31" s="86"/>
      <c r="G31" s="86"/>
      <c r="H31" s="86"/>
      <c r="I31" s="86"/>
      <c r="J31" s="86"/>
      <c r="K31" s="86"/>
      <c r="L31" s="66"/>
      <c r="M31" s="67"/>
      <c r="N31" s="96"/>
      <c r="O31" s="97"/>
      <c r="P31" s="97"/>
      <c r="Q31" s="98"/>
      <c r="S31" s="13"/>
    </row>
    <row r="32" spans="1:19" ht="30" customHeight="1" x14ac:dyDescent="0.3">
      <c r="A32" s="20"/>
      <c r="B32" s="38"/>
      <c r="C32" s="42"/>
      <c r="D32" s="43"/>
      <c r="E32" s="86"/>
      <c r="F32" s="86"/>
      <c r="G32" s="86"/>
      <c r="H32" s="86"/>
      <c r="I32" s="86"/>
      <c r="J32" s="86"/>
      <c r="K32" s="86"/>
      <c r="L32" s="44"/>
      <c r="N32" s="96"/>
      <c r="O32" s="97"/>
      <c r="P32" s="97"/>
      <c r="Q32" s="98"/>
      <c r="S32" s="13"/>
    </row>
    <row r="33" spans="1:19" ht="30" customHeight="1" x14ac:dyDescent="0.3">
      <c r="A33" s="20"/>
      <c r="B33" s="38"/>
      <c r="C33" s="42"/>
      <c r="D33" s="43"/>
      <c r="E33" s="86"/>
      <c r="F33" s="86"/>
      <c r="G33" s="86"/>
      <c r="H33" s="86"/>
      <c r="I33" s="86"/>
      <c r="J33" s="86"/>
      <c r="K33" s="86"/>
      <c r="L33" s="45"/>
      <c r="N33" s="96"/>
      <c r="O33" s="97"/>
      <c r="P33" s="97"/>
      <c r="Q33" s="98"/>
      <c r="S33" s="13"/>
    </row>
    <row r="34" spans="1:19" ht="30" customHeight="1" x14ac:dyDescent="0.3">
      <c r="A34" s="20"/>
      <c r="B34" s="38"/>
      <c r="C34" s="42"/>
      <c r="D34" s="43"/>
      <c r="E34" s="86"/>
      <c r="F34" s="86"/>
      <c r="G34" s="86"/>
      <c r="H34" s="86"/>
      <c r="I34" s="86"/>
      <c r="J34" s="86"/>
      <c r="K34" s="86"/>
      <c r="L34" s="44"/>
      <c r="N34" s="96"/>
      <c r="O34" s="97"/>
      <c r="P34" s="97"/>
      <c r="Q34" s="98"/>
      <c r="S34" s="13"/>
    </row>
    <row r="35" spans="1:19" ht="30" customHeight="1" x14ac:dyDescent="0.3">
      <c r="A35" s="20"/>
      <c r="B35" s="38"/>
      <c r="C35" s="42"/>
      <c r="D35" s="43"/>
      <c r="E35" s="86"/>
      <c r="F35" s="86"/>
      <c r="G35" s="86"/>
      <c r="H35" s="86"/>
      <c r="I35" s="86"/>
      <c r="J35" s="86"/>
      <c r="K35" s="86"/>
      <c r="L35" s="45"/>
      <c r="N35" s="96"/>
      <c r="O35" s="97"/>
      <c r="P35" s="97"/>
      <c r="Q35" s="98"/>
      <c r="S35" s="13"/>
    </row>
    <row r="36" spans="1:19" ht="30" customHeight="1" x14ac:dyDescent="0.3">
      <c r="A36" s="20"/>
      <c r="B36" s="38"/>
      <c r="C36" s="42"/>
      <c r="D36" s="43"/>
      <c r="E36" s="86"/>
      <c r="F36" s="86"/>
      <c r="G36" s="86"/>
      <c r="H36" s="86"/>
      <c r="I36" s="86"/>
      <c r="J36" s="86"/>
      <c r="K36" s="86"/>
      <c r="L36" s="44"/>
      <c r="N36" s="96"/>
      <c r="O36" s="97"/>
      <c r="P36" s="97"/>
      <c r="Q36" s="98"/>
      <c r="S36" s="13"/>
    </row>
    <row r="37" spans="1:19" ht="30" customHeight="1" x14ac:dyDescent="0.3">
      <c r="A37" s="20"/>
      <c r="B37" s="38"/>
      <c r="C37" s="42"/>
      <c r="D37" s="43"/>
      <c r="E37" s="86"/>
      <c r="F37" s="86"/>
      <c r="G37" s="86"/>
      <c r="H37" s="86"/>
      <c r="I37" s="86"/>
      <c r="J37" s="86"/>
      <c r="K37" s="86"/>
      <c r="L37" s="45"/>
      <c r="N37" s="96"/>
      <c r="O37" s="97"/>
      <c r="P37" s="97"/>
      <c r="Q37" s="98"/>
      <c r="S37" s="13"/>
    </row>
    <row r="38" spans="1:19" ht="30" customHeight="1" x14ac:dyDescent="0.3">
      <c r="A38" s="20"/>
      <c r="B38" s="38"/>
      <c r="C38" s="42"/>
      <c r="D38" s="43"/>
      <c r="E38" s="86"/>
      <c r="F38" s="86"/>
      <c r="G38" s="86"/>
      <c r="H38" s="86"/>
      <c r="I38" s="86"/>
      <c r="J38" s="86"/>
      <c r="K38" s="86"/>
      <c r="L38" s="46"/>
      <c r="N38" s="96"/>
      <c r="O38" s="97"/>
      <c r="P38" s="97"/>
      <c r="Q38" s="98"/>
      <c r="S38" s="13"/>
    </row>
    <row r="39" spans="1:19" ht="30" customHeight="1" x14ac:dyDescent="0.3">
      <c r="A39" s="20"/>
      <c r="B39" s="38"/>
      <c r="C39" s="42"/>
      <c r="D39" s="43"/>
      <c r="E39" s="86"/>
      <c r="F39" s="86"/>
      <c r="G39" s="86"/>
      <c r="H39" s="86"/>
      <c r="I39" s="86"/>
      <c r="J39" s="86"/>
      <c r="K39" s="86"/>
      <c r="L39" s="46"/>
      <c r="N39" s="96"/>
      <c r="O39" s="97"/>
      <c r="P39" s="97"/>
      <c r="Q39" s="98"/>
      <c r="S39" s="13"/>
    </row>
    <row r="40" spans="1:19" ht="30" customHeight="1" thickBot="1" x14ac:dyDescent="0.35">
      <c r="A40" s="20"/>
      <c r="B40" s="38"/>
      <c r="C40" s="47"/>
      <c r="D40" s="48"/>
      <c r="E40" s="87"/>
      <c r="F40" s="87"/>
      <c r="G40" s="87"/>
      <c r="H40" s="87"/>
      <c r="I40" s="87"/>
      <c r="J40" s="87"/>
      <c r="K40" s="87"/>
      <c r="L40" s="49"/>
      <c r="N40" s="96"/>
      <c r="O40" s="97"/>
      <c r="P40" s="97"/>
      <c r="Q40" s="98"/>
      <c r="S40" s="13"/>
    </row>
    <row r="41" spans="1:19" ht="30" customHeight="1" thickTop="1" x14ac:dyDescent="0.3">
      <c r="A41" s="20"/>
      <c r="B41" s="38"/>
      <c r="C41" s="38"/>
      <c r="D41" s="63"/>
      <c r="E41" s="63"/>
      <c r="F41" s="63"/>
      <c r="G41" s="63"/>
      <c r="H41" s="63"/>
      <c r="I41" s="63"/>
      <c r="J41" s="63"/>
      <c r="K41" s="63"/>
      <c r="L41" s="63"/>
      <c r="N41" s="64"/>
      <c r="O41" s="64"/>
      <c r="P41" s="62"/>
      <c r="Q41" s="65"/>
      <c r="S41" s="13"/>
    </row>
    <row r="42" spans="1:19" ht="30" customHeight="1" thickBot="1" x14ac:dyDescent="0.45">
      <c r="A42" s="20"/>
      <c r="B42" s="38"/>
      <c r="C42" s="38"/>
      <c r="D42" s="84"/>
      <c r="E42" s="37"/>
      <c r="F42" s="37"/>
      <c r="G42" s="37"/>
      <c r="H42" s="37"/>
      <c r="I42" s="37"/>
      <c r="J42" s="37"/>
      <c r="K42" s="37"/>
      <c r="L42" s="48"/>
      <c r="N42" s="95" t="s">
        <v>22</v>
      </c>
      <c r="O42" s="95"/>
      <c r="P42" s="95"/>
      <c r="Q42" s="95"/>
      <c r="S42" s="13"/>
    </row>
    <row r="43" spans="1:19" ht="30" customHeight="1" thickTop="1" x14ac:dyDescent="0.3">
      <c r="A43" s="20"/>
      <c r="B43" s="38"/>
      <c r="C43" s="88" t="s">
        <v>22</v>
      </c>
      <c r="D43" s="89"/>
      <c r="E43" s="92" t="str">
        <f ca="1">TEXT(E7, "ddd dd/mm")</f>
        <v>Mon 12/01</v>
      </c>
      <c r="F43" s="92" t="str">
        <f t="shared" ref="F43:K43" ca="1" si="2">TEXT(F7, "ddd dd/mm")</f>
        <v>Tue 13/01</v>
      </c>
      <c r="G43" s="92" t="str">
        <f t="shared" ca="1" si="2"/>
        <v>Wed 14/01</v>
      </c>
      <c r="H43" s="92" t="str">
        <f t="shared" ca="1" si="2"/>
        <v>Thu 15/01</v>
      </c>
      <c r="I43" s="92" t="str">
        <f t="shared" ca="1" si="2"/>
        <v>Fri 16/01</v>
      </c>
      <c r="J43" s="92" t="str">
        <f t="shared" ca="1" si="2"/>
        <v>Sat 17/01</v>
      </c>
      <c r="K43" s="92" t="str">
        <f t="shared" ca="1" si="2"/>
        <v>Sun 18/01</v>
      </c>
      <c r="L43" s="39"/>
      <c r="N43" s="96"/>
      <c r="O43" s="97"/>
      <c r="P43" s="97"/>
      <c r="Q43" s="98"/>
      <c r="S43" s="13"/>
    </row>
    <row r="44" spans="1:19" ht="30" customHeight="1" x14ac:dyDescent="0.3">
      <c r="A44" s="20"/>
      <c r="B44" s="38"/>
      <c r="C44" s="90"/>
      <c r="D44" s="91"/>
      <c r="E44" s="93"/>
      <c r="F44" s="93"/>
      <c r="G44" s="93"/>
      <c r="H44" s="93"/>
      <c r="I44" s="93"/>
      <c r="J44" s="93"/>
      <c r="K44" s="93"/>
      <c r="L44" s="41"/>
      <c r="N44" s="96"/>
      <c r="O44" s="97"/>
      <c r="P44" s="97"/>
      <c r="Q44" s="98"/>
      <c r="S44" s="13"/>
    </row>
    <row r="45" spans="1:19" ht="30" customHeight="1" x14ac:dyDescent="0.3">
      <c r="A45" s="20"/>
      <c r="B45" s="38"/>
      <c r="C45" s="42"/>
      <c r="D45" s="43"/>
      <c r="E45" s="86"/>
      <c r="F45" s="86"/>
      <c r="G45" s="86"/>
      <c r="H45" s="86"/>
      <c r="I45" s="86"/>
      <c r="J45" s="86"/>
      <c r="K45" s="86"/>
      <c r="L45" s="66"/>
      <c r="N45" s="96"/>
      <c r="O45" s="97"/>
      <c r="P45" s="97"/>
      <c r="Q45" s="98"/>
      <c r="S45" s="13"/>
    </row>
    <row r="46" spans="1:19" ht="30" customHeight="1" x14ac:dyDescent="0.3">
      <c r="A46" s="20"/>
      <c r="B46" s="38"/>
      <c r="C46" s="42"/>
      <c r="D46" s="43"/>
      <c r="E46" s="86"/>
      <c r="F46" s="86"/>
      <c r="G46" s="86"/>
      <c r="H46" s="86"/>
      <c r="I46" s="86"/>
      <c r="J46" s="86"/>
      <c r="K46" s="86"/>
      <c r="L46" s="44"/>
      <c r="N46" s="96"/>
      <c r="O46" s="97"/>
      <c r="P46" s="97"/>
      <c r="Q46" s="98"/>
      <c r="S46" s="13"/>
    </row>
    <row r="47" spans="1:19" ht="30" customHeight="1" x14ac:dyDescent="0.3">
      <c r="A47" s="20"/>
      <c r="B47" s="38"/>
      <c r="C47" s="42"/>
      <c r="D47" s="43"/>
      <c r="E47" s="86"/>
      <c r="F47" s="86"/>
      <c r="G47" s="86"/>
      <c r="H47" s="86"/>
      <c r="I47" s="86"/>
      <c r="J47" s="86"/>
      <c r="K47" s="86"/>
      <c r="L47" s="45"/>
      <c r="N47" s="96"/>
      <c r="O47" s="97"/>
      <c r="P47" s="97"/>
      <c r="Q47" s="98"/>
      <c r="S47" s="13"/>
    </row>
    <row r="48" spans="1:19" ht="30" customHeight="1" x14ac:dyDescent="0.3">
      <c r="A48" s="20"/>
      <c r="B48" s="38"/>
      <c r="C48" s="42"/>
      <c r="D48" s="43"/>
      <c r="E48" s="86"/>
      <c r="F48" s="86"/>
      <c r="G48" s="86"/>
      <c r="H48" s="86"/>
      <c r="I48" s="86"/>
      <c r="J48" s="86"/>
      <c r="K48" s="86"/>
      <c r="L48" s="44"/>
      <c r="N48" s="96"/>
      <c r="O48" s="97"/>
      <c r="P48" s="97"/>
      <c r="Q48" s="98"/>
      <c r="S48" s="13"/>
    </row>
    <row r="49" spans="1:19" ht="30" customHeight="1" x14ac:dyDescent="0.3">
      <c r="A49" s="20"/>
      <c r="B49" s="38"/>
      <c r="C49" s="42"/>
      <c r="D49" s="43"/>
      <c r="E49" s="86"/>
      <c r="F49" s="86"/>
      <c r="G49" s="86"/>
      <c r="H49" s="86"/>
      <c r="I49" s="86"/>
      <c r="J49" s="86"/>
      <c r="K49" s="86"/>
      <c r="L49" s="45"/>
      <c r="N49" s="96"/>
      <c r="O49" s="97"/>
      <c r="P49" s="97"/>
      <c r="Q49" s="98"/>
      <c r="S49" s="13"/>
    </row>
    <row r="50" spans="1:19" ht="30" customHeight="1" x14ac:dyDescent="0.3">
      <c r="A50" s="20"/>
      <c r="B50" s="38"/>
      <c r="C50" s="42"/>
      <c r="D50" s="43"/>
      <c r="E50" s="86"/>
      <c r="F50" s="86"/>
      <c r="G50" s="86"/>
      <c r="H50" s="86"/>
      <c r="I50" s="86"/>
      <c r="J50" s="86"/>
      <c r="K50" s="86"/>
      <c r="L50" s="44"/>
      <c r="N50" s="96"/>
      <c r="O50" s="97"/>
      <c r="P50" s="97"/>
      <c r="Q50" s="98"/>
      <c r="S50" s="13"/>
    </row>
    <row r="51" spans="1:19" ht="30" customHeight="1" x14ac:dyDescent="0.3">
      <c r="A51" s="20"/>
      <c r="B51" s="38"/>
      <c r="C51" s="42"/>
      <c r="D51" s="43"/>
      <c r="E51" s="86"/>
      <c r="F51" s="86"/>
      <c r="G51" s="86"/>
      <c r="H51" s="86"/>
      <c r="I51" s="86"/>
      <c r="J51" s="86"/>
      <c r="K51" s="86"/>
      <c r="L51" s="45"/>
      <c r="N51" s="96"/>
      <c r="O51" s="97"/>
      <c r="P51" s="97"/>
      <c r="Q51" s="98"/>
      <c r="S51" s="13"/>
    </row>
    <row r="52" spans="1:19" ht="30" customHeight="1" x14ac:dyDescent="0.3">
      <c r="A52" s="20"/>
      <c r="B52" s="38"/>
      <c r="C52" s="42"/>
      <c r="D52" s="43"/>
      <c r="E52" s="86"/>
      <c r="F52" s="86"/>
      <c r="G52" s="86"/>
      <c r="H52" s="86"/>
      <c r="I52" s="86"/>
      <c r="J52" s="86"/>
      <c r="K52" s="86"/>
      <c r="L52" s="46"/>
      <c r="N52" s="96"/>
      <c r="O52" s="97"/>
      <c r="P52" s="97"/>
      <c r="Q52" s="98"/>
      <c r="S52" s="13"/>
    </row>
    <row r="53" spans="1:19" ht="30" customHeight="1" x14ac:dyDescent="0.3">
      <c r="A53" s="20"/>
      <c r="B53" s="38"/>
      <c r="C53" s="42"/>
      <c r="D53" s="43"/>
      <c r="E53" s="86"/>
      <c r="F53" s="86"/>
      <c r="G53" s="86"/>
      <c r="H53" s="86"/>
      <c r="I53" s="86"/>
      <c r="J53" s="86"/>
      <c r="K53" s="86"/>
      <c r="L53" s="46"/>
      <c r="N53" s="96"/>
      <c r="O53" s="97"/>
      <c r="P53" s="97"/>
      <c r="Q53" s="98"/>
      <c r="S53" s="13"/>
    </row>
    <row r="54" spans="1:19" ht="30" customHeight="1" thickBot="1" x14ac:dyDescent="0.35">
      <c r="A54" s="20"/>
      <c r="B54" s="38"/>
      <c r="C54" s="47"/>
      <c r="D54" s="48"/>
      <c r="E54" s="87"/>
      <c r="F54" s="87"/>
      <c r="G54" s="87"/>
      <c r="H54" s="87"/>
      <c r="I54" s="87"/>
      <c r="J54" s="87"/>
      <c r="K54" s="87"/>
      <c r="L54" s="49"/>
      <c r="N54" s="96"/>
      <c r="O54" s="97"/>
      <c r="P54" s="97"/>
      <c r="Q54" s="98"/>
      <c r="S54" s="13"/>
    </row>
    <row r="55" spans="1:19" ht="30" customHeight="1" thickTop="1" x14ac:dyDescent="0.3">
      <c r="A55" s="20"/>
      <c r="B55" s="38"/>
      <c r="C55" s="38"/>
      <c r="D55" s="63"/>
      <c r="E55" s="63"/>
      <c r="F55" s="63"/>
      <c r="G55" s="63"/>
      <c r="H55" s="63"/>
      <c r="I55" s="63"/>
      <c r="J55" s="63"/>
      <c r="K55" s="63"/>
      <c r="L55" s="63"/>
      <c r="N55" s="64"/>
      <c r="O55" s="64"/>
      <c r="P55" s="62"/>
      <c r="Q55" s="65"/>
      <c r="S55" s="13"/>
    </row>
    <row r="56" spans="1:19" ht="30" customHeight="1" thickBot="1" x14ac:dyDescent="0.45">
      <c r="A56" s="20"/>
      <c r="B56" s="38"/>
      <c r="C56" s="38"/>
      <c r="D56" s="84"/>
      <c r="E56" s="63"/>
      <c r="F56" s="63"/>
      <c r="G56" s="63"/>
      <c r="H56" s="63"/>
      <c r="I56" s="63"/>
      <c r="J56" s="63"/>
      <c r="K56" s="63"/>
      <c r="L56" s="63"/>
      <c r="N56" s="95" t="s">
        <v>23</v>
      </c>
      <c r="O56" s="95"/>
      <c r="P56" s="95"/>
      <c r="Q56" s="95"/>
      <c r="S56" s="13"/>
    </row>
    <row r="57" spans="1:19" ht="30" customHeight="1" thickTop="1" x14ac:dyDescent="0.3">
      <c r="A57" s="20"/>
      <c r="B57" s="38"/>
      <c r="C57" s="88" t="s">
        <v>23</v>
      </c>
      <c r="D57" s="89"/>
      <c r="E57" s="92" t="str">
        <f ca="1">TEXT(E8, "ddd dd/mm")</f>
        <v>Mon 19/01</v>
      </c>
      <c r="F57" s="92" t="str">
        <f t="shared" ref="F57:K57" ca="1" si="3">TEXT(F8, "ddd dd/mm")</f>
        <v>Tue 20/01</v>
      </c>
      <c r="G57" s="92" t="str">
        <f t="shared" ca="1" si="3"/>
        <v>Wed 21/01</v>
      </c>
      <c r="H57" s="92" t="str">
        <f t="shared" ca="1" si="3"/>
        <v>Thu 22/01</v>
      </c>
      <c r="I57" s="92" t="str">
        <f t="shared" ca="1" si="3"/>
        <v>Fri 23/01</v>
      </c>
      <c r="J57" s="92" t="str">
        <f t="shared" ca="1" si="3"/>
        <v>Sat 24/01</v>
      </c>
      <c r="K57" s="92" t="str">
        <f t="shared" ca="1" si="3"/>
        <v>Sun 25/01</v>
      </c>
      <c r="L57" s="39"/>
      <c r="N57" s="96"/>
      <c r="O57" s="97"/>
      <c r="P57" s="97"/>
      <c r="Q57" s="98"/>
      <c r="S57" s="13"/>
    </row>
    <row r="58" spans="1:19" ht="30" customHeight="1" x14ac:dyDescent="0.3">
      <c r="A58" s="20"/>
      <c r="B58" s="38"/>
      <c r="C58" s="90"/>
      <c r="D58" s="91"/>
      <c r="E58" s="93"/>
      <c r="F58" s="93"/>
      <c r="G58" s="93"/>
      <c r="H58" s="93"/>
      <c r="I58" s="93"/>
      <c r="J58" s="93"/>
      <c r="K58" s="93"/>
      <c r="L58" s="41"/>
      <c r="N58" s="96"/>
      <c r="O58" s="97"/>
      <c r="P58" s="97"/>
      <c r="Q58" s="98"/>
      <c r="S58" s="13"/>
    </row>
    <row r="59" spans="1:19" ht="30" customHeight="1" x14ac:dyDescent="0.3">
      <c r="A59" s="20"/>
      <c r="B59" s="38"/>
      <c r="C59" s="42"/>
      <c r="D59" s="43"/>
      <c r="E59" s="86"/>
      <c r="F59" s="86"/>
      <c r="G59" s="86"/>
      <c r="H59" s="86"/>
      <c r="I59" s="86"/>
      <c r="J59" s="86"/>
      <c r="K59" s="86"/>
      <c r="L59" s="66"/>
      <c r="N59" s="96"/>
      <c r="O59" s="97"/>
      <c r="P59" s="97"/>
      <c r="Q59" s="98"/>
      <c r="S59" s="13"/>
    </row>
    <row r="60" spans="1:19" ht="30" customHeight="1" x14ac:dyDescent="0.3">
      <c r="A60" s="20"/>
      <c r="B60" s="38"/>
      <c r="C60" s="42"/>
      <c r="D60" s="43"/>
      <c r="E60" s="86"/>
      <c r="F60" s="86"/>
      <c r="G60" s="86"/>
      <c r="H60" s="86"/>
      <c r="I60" s="86"/>
      <c r="J60" s="86"/>
      <c r="K60" s="86"/>
      <c r="L60" s="44"/>
      <c r="N60" s="96"/>
      <c r="O60" s="97"/>
      <c r="P60" s="97"/>
      <c r="Q60" s="98"/>
      <c r="S60" s="13"/>
    </row>
    <row r="61" spans="1:19" ht="30" customHeight="1" x14ac:dyDescent="0.3">
      <c r="A61" s="20"/>
      <c r="B61" s="38"/>
      <c r="C61" s="42"/>
      <c r="D61" s="43"/>
      <c r="E61" s="86"/>
      <c r="F61" s="86"/>
      <c r="G61" s="86"/>
      <c r="H61" s="86"/>
      <c r="I61" s="86"/>
      <c r="J61" s="86"/>
      <c r="K61" s="86"/>
      <c r="L61" s="45"/>
      <c r="N61" s="96"/>
      <c r="O61" s="97"/>
      <c r="P61" s="97"/>
      <c r="Q61" s="98"/>
      <c r="S61" s="13"/>
    </row>
    <row r="62" spans="1:19" ht="30" customHeight="1" x14ac:dyDescent="0.3">
      <c r="A62" s="20"/>
      <c r="B62" s="38"/>
      <c r="C62" s="42"/>
      <c r="D62" s="43"/>
      <c r="E62" s="86"/>
      <c r="F62" s="86"/>
      <c r="G62" s="86"/>
      <c r="H62" s="86"/>
      <c r="I62" s="86"/>
      <c r="J62" s="86"/>
      <c r="K62" s="86"/>
      <c r="L62" s="44"/>
      <c r="N62" s="96"/>
      <c r="O62" s="97"/>
      <c r="P62" s="97"/>
      <c r="Q62" s="98"/>
      <c r="S62" s="13"/>
    </row>
    <row r="63" spans="1:19" ht="30" customHeight="1" x14ac:dyDescent="0.3">
      <c r="A63" s="20"/>
      <c r="B63" s="38"/>
      <c r="C63" s="42"/>
      <c r="D63" s="43"/>
      <c r="E63" s="86"/>
      <c r="F63" s="86"/>
      <c r="G63" s="86"/>
      <c r="H63" s="86"/>
      <c r="I63" s="86"/>
      <c r="J63" s="86"/>
      <c r="K63" s="86"/>
      <c r="L63" s="45"/>
      <c r="N63" s="96"/>
      <c r="O63" s="97"/>
      <c r="P63" s="97"/>
      <c r="Q63" s="98"/>
      <c r="S63" s="13"/>
    </row>
    <row r="64" spans="1:19" ht="30" customHeight="1" x14ac:dyDescent="0.3">
      <c r="A64" s="20"/>
      <c r="B64" s="38"/>
      <c r="C64" s="42"/>
      <c r="D64" s="43"/>
      <c r="E64" s="86"/>
      <c r="F64" s="86"/>
      <c r="G64" s="86"/>
      <c r="H64" s="86"/>
      <c r="I64" s="86"/>
      <c r="J64" s="86"/>
      <c r="K64" s="86"/>
      <c r="L64" s="44"/>
      <c r="N64" s="96"/>
      <c r="O64" s="97"/>
      <c r="P64" s="97"/>
      <c r="Q64" s="98"/>
      <c r="S64" s="13"/>
    </row>
    <row r="65" spans="1:21" ht="30" customHeight="1" x14ac:dyDescent="0.3">
      <c r="A65" s="20"/>
      <c r="B65" s="38"/>
      <c r="C65" s="42"/>
      <c r="D65" s="43"/>
      <c r="E65" s="86"/>
      <c r="F65" s="86"/>
      <c r="G65" s="86"/>
      <c r="H65" s="86"/>
      <c r="I65" s="86"/>
      <c r="J65" s="86"/>
      <c r="K65" s="86"/>
      <c r="L65" s="45"/>
      <c r="N65" s="96"/>
      <c r="O65" s="97"/>
      <c r="P65" s="97"/>
      <c r="Q65" s="98"/>
      <c r="S65" s="13"/>
    </row>
    <row r="66" spans="1:21" ht="30" customHeight="1" x14ac:dyDescent="0.3">
      <c r="A66" s="20"/>
      <c r="B66" s="38"/>
      <c r="C66" s="42"/>
      <c r="D66" s="43"/>
      <c r="E66" s="86"/>
      <c r="F66" s="86"/>
      <c r="G66" s="86"/>
      <c r="H66" s="86"/>
      <c r="I66" s="86"/>
      <c r="J66" s="86"/>
      <c r="K66" s="86"/>
      <c r="L66" s="46"/>
      <c r="N66" s="96"/>
      <c r="O66" s="97"/>
      <c r="P66" s="97"/>
      <c r="Q66" s="98"/>
      <c r="S66" s="13"/>
    </row>
    <row r="67" spans="1:21" ht="30" customHeight="1" x14ac:dyDescent="0.3">
      <c r="A67" s="20"/>
      <c r="B67" s="38"/>
      <c r="C67" s="42"/>
      <c r="D67" s="43"/>
      <c r="E67" s="86"/>
      <c r="F67" s="86"/>
      <c r="G67" s="86"/>
      <c r="H67" s="86"/>
      <c r="I67" s="86"/>
      <c r="J67" s="86"/>
      <c r="K67" s="86"/>
      <c r="L67" s="46"/>
      <c r="N67" s="96"/>
      <c r="O67" s="97"/>
      <c r="P67" s="97"/>
      <c r="Q67" s="98"/>
      <c r="S67" s="13"/>
    </row>
    <row r="68" spans="1:21" ht="30" customHeight="1" thickBot="1" x14ac:dyDescent="0.35">
      <c r="A68" s="20"/>
      <c r="B68" s="38"/>
      <c r="C68" s="47"/>
      <c r="D68" s="48"/>
      <c r="E68" s="87"/>
      <c r="F68" s="87"/>
      <c r="G68" s="87"/>
      <c r="H68" s="87"/>
      <c r="I68" s="87"/>
      <c r="J68" s="87"/>
      <c r="K68" s="87"/>
      <c r="L68" s="49"/>
      <c r="N68" s="96"/>
      <c r="O68" s="97"/>
      <c r="P68" s="97"/>
      <c r="Q68" s="98"/>
      <c r="S68" s="13"/>
    </row>
    <row r="69" spans="1:21" ht="30" customHeight="1" thickTop="1" x14ac:dyDescent="0.3">
      <c r="A69" s="20"/>
      <c r="B69" s="38"/>
      <c r="C69" s="38"/>
      <c r="D69" s="63"/>
      <c r="E69" s="63"/>
      <c r="F69" s="63"/>
      <c r="G69" s="63"/>
      <c r="H69" s="63"/>
      <c r="I69" s="63"/>
      <c r="J69" s="63"/>
      <c r="K69" s="63"/>
      <c r="L69" s="63"/>
      <c r="N69" s="64"/>
      <c r="O69" s="64"/>
      <c r="P69" s="62"/>
      <c r="Q69" s="65"/>
      <c r="S69" s="13"/>
    </row>
    <row r="70" spans="1:21" ht="30" customHeight="1" thickBot="1" x14ac:dyDescent="0.45">
      <c r="A70" s="20"/>
      <c r="B70" s="38"/>
      <c r="C70" s="38"/>
      <c r="D70" s="84"/>
      <c r="E70" s="63"/>
      <c r="F70" s="63"/>
      <c r="G70" s="63"/>
      <c r="H70" s="63"/>
      <c r="I70" s="63"/>
      <c r="J70" s="63"/>
      <c r="K70" s="63"/>
      <c r="L70" s="63"/>
      <c r="N70" s="95" t="s">
        <v>24</v>
      </c>
      <c r="O70" s="95"/>
      <c r="P70" s="95"/>
      <c r="Q70" s="95"/>
      <c r="S70" s="13"/>
    </row>
    <row r="71" spans="1:21" ht="30" customHeight="1" thickTop="1" x14ac:dyDescent="0.3">
      <c r="A71" s="20"/>
      <c r="B71" s="38"/>
      <c r="C71" s="88" t="s">
        <v>24</v>
      </c>
      <c r="D71" s="89"/>
      <c r="E71" s="92" t="str">
        <f ca="1">TEXT(E9, "ddd dd/mm")</f>
        <v>Mon 26/01</v>
      </c>
      <c r="F71" s="92" t="str">
        <f t="shared" ref="F71:J71" ca="1" si="4">TEXT(F9, "ddd dd/mm")</f>
        <v>Tue 27/01</v>
      </c>
      <c r="G71" s="92" t="str">
        <f t="shared" ca="1" si="4"/>
        <v>Wed 28/01</v>
      </c>
      <c r="H71" s="92" t="str">
        <f t="shared" ca="1" si="4"/>
        <v>Thu 29/01</v>
      </c>
      <c r="I71" s="92" t="str">
        <f t="shared" ca="1" si="4"/>
        <v>Fri 30/01</v>
      </c>
      <c r="J71" s="92" t="str">
        <f t="shared" ca="1" si="4"/>
        <v>Sat 31/01</v>
      </c>
      <c r="K71" s="92"/>
      <c r="L71" s="39"/>
      <c r="N71" s="96"/>
      <c r="O71" s="97"/>
      <c r="P71" s="97"/>
      <c r="Q71" s="98"/>
      <c r="S71" s="13"/>
    </row>
    <row r="72" spans="1:21" ht="30" customHeight="1" x14ac:dyDescent="0.3">
      <c r="A72" s="20"/>
      <c r="B72" s="38"/>
      <c r="C72" s="90"/>
      <c r="D72" s="91"/>
      <c r="E72" s="93"/>
      <c r="F72" s="93"/>
      <c r="G72" s="93"/>
      <c r="H72" s="93"/>
      <c r="I72" s="93"/>
      <c r="J72" s="93"/>
      <c r="K72" s="93"/>
      <c r="L72" s="41"/>
      <c r="N72" s="96"/>
      <c r="O72" s="97"/>
      <c r="P72" s="97"/>
      <c r="Q72" s="98"/>
      <c r="R72" s="3"/>
      <c r="S72" s="13"/>
      <c r="T72" s="3"/>
      <c r="U72" s="3"/>
    </row>
    <row r="73" spans="1:21" ht="30" customHeight="1" x14ac:dyDescent="0.3">
      <c r="A73" s="20"/>
      <c r="B73" s="38"/>
      <c r="C73" s="42"/>
      <c r="D73" s="43"/>
      <c r="E73" s="86"/>
      <c r="F73" s="86"/>
      <c r="G73" s="86"/>
      <c r="H73" s="86"/>
      <c r="I73" s="86"/>
      <c r="J73" s="86"/>
      <c r="K73" s="86"/>
      <c r="L73" s="66"/>
      <c r="N73" s="96"/>
      <c r="O73" s="97"/>
      <c r="P73" s="97"/>
      <c r="Q73" s="98"/>
      <c r="S73" s="13"/>
    </row>
    <row r="74" spans="1:21" ht="30" customHeight="1" x14ac:dyDescent="0.3">
      <c r="A74" s="20"/>
      <c r="B74" s="38"/>
      <c r="C74" s="42"/>
      <c r="D74" s="43"/>
      <c r="E74" s="86"/>
      <c r="F74" s="86"/>
      <c r="G74" s="86"/>
      <c r="H74" s="86"/>
      <c r="I74" s="86"/>
      <c r="J74" s="86"/>
      <c r="K74" s="86"/>
      <c r="L74" s="44"/>
      <c r="N74" s="96"/>
      <c r="O74" s="97"/>
      <c r="P74" s="97"/>
      <c r="Q74" s="98"/>
      <c r="S74" s="13"/>
    </row>
    <row r="75" spans="1:21" ht="30" customHeight="1" x14ac:dyDescent="0.3">
      <c r="A75" s="20"/>
      <c r="B75" s="38"/>
      <c r="C75" s="42"/>
      <c r="D75" s="43"/>
      <c r="E75" s="86"/>
      <c r="F75" s="86"/>
      <c r="G75" s="86"/>
      <c r="H75" s="86"/>
      <c r="I75" s="86"/>
      <c r="J75" s="86"/>
      <c r="K75" s="86"/>
      <c r="L75" s="45"/>
      <c r="N75" s="96"/>
      <c r="O75" s="97"/>
      <c r="P75" s="97"/>
      <c r="Q75" s="98"/>
      <c r="S75" s="13"/>
    </row>
    <row r="76" spans="1:21" ht="30" customHeight="1" x14ac:dyDescent="0.3">
      <c r="A76" s="20"/>
      <c r="B76" s="38"/>
      <c r="C76" s="42"/>
      <c r="D76" s="43"/>
      <c r="E76" s="86"/>
      <c r="F76" s="86"/>
      <c r="G76" s="86"/>
      <c r="H76" s="86"/>
      <c r="I76" s="86"/>
      <c r="J76" s="86"/>
      <c r="K76" s="86"/>
      <c r="L76" s="44"/>
      <c r="N76" s="96"/>
      <c r="O76" s="97"/>
      <c r="P76" s="97"/>
      <c r="Q76" s="98"/>
      <c r="S76" s="13"/>
    </row>
    <row r="77" spans="1:21" ht="30" customHeight="1" x14ac:dyDescent="0.3">
      <c r="A77" s="20"/>
      <c r="B77" s="38"/>
      <c r="C77" s="42"/>
      <c r="D77" s="43"/>
      <c r="E77" s="86"/>
      <c r="F77" s="86"/>
      <c r="G77" s="86"/>
      <c r="H77" s="86"/>
      <c r="I77" s="86"/>
      <c r="J77" s="86"/>
      <c r="K77" s="86"/>
      <c r="L77" s="45"/>
      <c r="N77" s="96"/>
      <c r="O77" s="97"/>
      <c r="P77" s="97"/>
      <c r="Q77" s="98"/>
      <c r="S77" s="13"/>
    </row>
    <row r="78" spans="1:21" ht="30" customHeight="1" x14ac:dyDescent="0.3">
      <c r="A78" s="20"/>
      <c r="B78" s="38"/>
      <c r="C78" s="42"/>
      <c r="D78" s="43"/>
      <c r="E78" s="86"/>
      <c r="F78" s="86"/>
      <c r="G78" s="86"/>
      <c r="H78" s="86"/>
      <c r="I78" s="86"/>
      <c r="J78" s="86"/>
      <c r="K78" s="86"/>
      <c r="L78" s="44"/>
      <c r="N78" s="96"/>
      <c r="O78" s="97"/>
      <c r="P78" s="97"/>
      <c r="Q78" s="98"/>
      <c r="S78" s="13"/>
    </row>
    <row r="79" spans="1:21" ht="30" customHeight="1" x14ac:dyDescent="0.3">
      <c r="A79" s="20"/>
      <c r="B79" s="38"/>
      <c r="C79" s="42"/>
      <c r="D79" s="43"/>
      <c r="E79" s="86"/>
      <c r="F79" s="86"/>
      <c r="G79" s="86"/>
      <c r="H79" s="86"/>
      <c r="I79" s="86"/>
      <c r="J79" s="86"/>
      <c r="K79" s="86"/>
      <c r="L79" s="45"/>
      <c r="N79" s="96"/>
      <c r="O79" s="97"/>
      <c r="P79" s="97"/>
      <c r="Q79" s="98"/>
      <c r="S79" s="13"/>
    </row>
    <row r="80" spans="1:21" ht="30" customHeight="1" x14ac:dyDescent="0.3">
      <c r="A80" s="20"/>
      <c r="B80" s="38"/>
      <c r="C80" s="42"/>
      <c r="D80" s="43"/>
      <c r="E80" s="86"/>
      <c r="F80" s="86"/>
      <c r="G80" s="86"/>
      <c r="H80" s="86"/>
      <c r="I80" s="86"/>
      <c r="J80" s="86"/>
      <c r="K80" s="86"/>
      <c r="L80" s="46"/>
      <c r="N80" s="96"/>
      <c r="O80" s="97"/>
      <c r="P80" s="97"/>
      <c r="Q80" s="98"/>
      <c r="S80" s="13"/>
    </row>
    <row r="81" spans="1:19" ht="30" customHeight="1" x14ac:dyDescent="0.3">
      <c r="A81" s="20"/>
      <c r="B81" s="38"/>
      <c r="C81" s="42"/>
      <c r="D81" s="43"/>
      <c r="E81" s="86"/>
      <c r="F81" s="86"/>
      <c r="G81" s="86"/>
      <c r="H81" s="86"/>
      <c r="I81" s="86"/>
      <c r="J81" s="86"/>
      <c r="K81" s="86"/>
      <c r="L81" s="46"/>
      <c r="N81" s="96"/>
      <c r="O81" s="97"/>
      <c r="P81" s="97"/>
      <c r="Q81" s="98"/>
      <c r="S81" s="13"/>
    </row>
    <row r="82" spans="1:19" ht="30" customHeight="1" thickBot="1" x14ac:dyDescent="0.35">
      <c r="A82" s="20"/>
      <c r="B82" s="38"/>
      <c r="C82" s="47"/>
      <c r="D82" s="48"/>
      <c r="E82" s="87"/>
      <c r="F82" s="87"/>
      <c r="G82" s="87"/>
      <c r="H82" s="87"/>
      <c r="I82" s="87"/>
      <c r="J82" s="87"/>
      <c r="K82" s="87"/>
      <c r="L82" s="49"/>
      <c r="N82" s="96"/>
      <c r="O82" s="97"/>
      <c r="P82" s="97"/>
      <c r="Q82" s="98"/>
      <c r="S82" s="13"/>
    </row>
    <row r="83" spans="1:19" ht="30" customHeight="1" thickTop="1" x14ac:dyDescent="0.3">
      <c r="A83" s="20"/>
      <c r="B83" s="38"/>
      <c r="C83" s="38"/>
      <c r="D83" s="63"/>
      <c r="E83" s="63"/>
      <c r="F83" s="63"/>
      <c r="G83" s="63"/>
      <c r="H83" s="63"/>
      <c r="I83" s="63"/>
      <c r="J83" s="63"/>
      <c r="K83" s="63"/>
      <c r="L83" s="63"/>
      <c r="N83" s="64"/>
      <c r="O83" s="64"/>
      <c r="P83" s="62"/>
      <c r="Q83" s="65"/>
      <c r="S83" s="13"/>
    </row>
    <row r="84" spans="1:19" ht="30" customHeight="1" x14ac:dyDescent="0.25">
      <c r="A84" s="4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2"/>
      <c r="O84" s="52"/>
      <c r="P84" s="51"/>
      <c r="Q84" s="53"/>
      <c r="R84" s="51"/>
      <c r="S84" s="4"/>
    </row>
  </sheetData>
  <sheetProtection sheet="1" objects="1" scenarios="1" selectLockedCells="1"/>
  <dataConsolidate/>
  <mergeCells count="106">
    <mergeCell ref="C43:D44"/>
    <mergeCell ref="C57:D58"/>
    <mergeCell ref="C71:D72"/>
    <mergeCell ref="N81:Q81"/>
    <mergeCell ref="N82:Q82"/>
    <mergeCell ref="N28:Q28"/>
    <mergeCell ref="N42:Q42"/>
    <mergeCell ref="N56:Q56"/>
    <mergeCell ref="N70:Q70"/>
    <mergeCell ref="N76:Q76"/>
    <mergeCell ref="N77:Q77"/>
    <mergeCell ref="N78:Q78"/>
    <mergeCell ref="N79:Q79"/>
    <mergeCell ref="N80:Q80"/>
    <mergeCell ref="N71:Q71"/>
    <mergeCell ref="N72:Q72"/>
    <mergeCell ref="N73:Q73"/>
    <mergeCell ref="N74:Q74"/>
    <mergeCell ref="N75:Q75"/>
    <mergeCell ref="N64:Q64"/>
    <mergeCell ref="N65:Q65"/>
    <mergeCell ref="N66:Q66"/>
    <mergeCell ref="N67:Q67"/>
    <mergeCell ref="N68:Q68"/>
    <mergeCell ref="N59:Q59"/>
    <mergeCell ref="N60:Q60"/>
    <mergeCell ref="N61:Q61"/>
    <mergeCell ref="N62:Q62"/>
    <mergeCell ref="N63:Q63"/>
    <mergeCell ref="N50:Q50"/>
    <mergeCell ref="N51:Q51"/>
    <mergeCell ref="N52:Q52"/>
    <mergeCell ref="N53:Q53"/>
    <mergeCell ref="N54:Q54"/>
    <mergeCell ref="N26:Q26"/>
    <mergeCell ref="N29:Q29"/>
    <mergeCell ref="N30:Q30"/>
    <mergeCell ref="N31:Q31"/>
    <mergeCell ref="N45:Q45"/>
    <mergeCell ref="N46:Q46"/>
    <mergeCell ref="N47:Q47"/>
    <mergeCell ref="N48:Q48"/>
    <mergeCell ref="N49:Q49"/>
    <mergeCell ref="N37:Q37"/>
    <mergeCell ref="N38:Q38"/>
    <mergeCell ref="N39:Q39"/>
    <mergeCell ref="N40:Q40"/>
    <mergeCell ref="N43:Q43"/>
    <mergeCell ref="N20:Q20"/>
    <mergeCell ref="N21:Q21"/>
    <mergeCell ref="N22:Q22"/>
    <mergeCell ref="N23:Q23"/>
    <mergeCell ref="N24:Q24"/>
    <mergeCell ref="E71:E72"/>
    <mergeCell ref="F71:F72"/>
    <mergeCell ref="G71:G72"/>
    <mergeCell ref="H71:H72"/>
    <mergeCell ref="I71:I72"/>
    <mergeCell ref="J71:J72"/>
    <mergeCell ref="K71:K72"/>
    <mergeCell ref="F29:F30"/>
    <mergeCell ref="G29:G30"/>
    <mergeCell ref="H29:H30"/>
    <mergeCell ref="I29:I30"/>
    <mergeCell ref="J29:J30"/>
    <mergeCell ref="K29:K30"/>
    <mergeCell ref="N32:Q32"/>
    <mergeCell ref="N33:Q33"/>
    <mergeCell ref="N34:Q34"/>
    <mergeCell ref="N35:Q35"/>
    <mergeCell ref="N36:Q36"/>
    <mergeCell ref="N25:Q25"/>
    <mergeCell ref="N14:Q14"/>
    <mergeCell ref="N15:Q15"/>
    <mergeCell ref="N16:Q16"/>
    <mergeCell ref="N17:Q17"/>
    <mergeCell ref="N18:Q18"/>
    <mergeCell ref="N19:Q19"/>
    <mergeCell ref="E57:E58"/>
    <mergeCell ref="F57:F58"/>
    <mergeCell ref="G57:G58"/>
    <mergeCell ref="H57:H58"/>
    <mergeCell ref="I57:I58"/>
    <mergeCell ref="J57:J58"/>
    <mergeCell ref="K57:K58"/>
    <mergeCell ref="N57:Q57"/>
    <mergeCell ref="N58:Q58"/>
    <mergeCell ref="E43:E44"/>
    <mergeCell ref="F43:F44"/>
    <mergeCell ref="G43:G44"/>
    <mergeCell ref="H43:H44"/>
    <mergeCell ref="I43:I44"/>
    <mergeCell ref="J43:J44"/>
    <mergeCell ref="K43:K44"/>
    <mergeCell ref="N44:Q44"/>
    <mergeCell ref="E29:E30"/>
    <mergeCell ref="C29:D30"/>
    <mergeCell ref="E15:E16"/>
    <mergeCell ref="F15:F16"/>
    <mergeCell ref="G15:G16"/>
    <mergeCell ref="H15:H16"/>
    <mergeCell ref="I15:I16"/>
    <mergeCell ref="J15:J16"/>
    <mergeCell ref="K15:K16"/>
    <mergeCell ref="D5:D6"/>
    <mergeCell ref="C15:D16"/>
  </mergeCells>
  <conditionalFormatting sqref="D17:K25">
    <cfRule type="expression" dxfId="237" priority="13">
      <formula>D17&lt;&gt;""</formula>
    </cfRule>
  </conditionalFormatting>
  <conditionalFormatting sqref="D26:K27">
    <cfRule type="expression" dxfId="236" priority="14">
      <formula>COLUMN(#REF!)&gt;2</formula>
    </cfRule>
  </conditionalFormatting>
  <conditionalFormatting sqref="D31:K39">
    <cfRule type="expression" dxfId="235" priority="11">
      <formula>D31&lt;&gt;""</formula>
    </cfRule>
  </conditionalFormatting>
  <conditionalFormatting sqref="D40:K41">
    <cfRule type="expression" dxfId="234" priority="12">
      <formula>COLUMN(#REF!)&gt;2</formula>
    </cfRule>
  </conditionalFormatting>
  <conditionalFormatting sqref="D45:K53">
    <cfRule type="expression" dxfId="233" priority="4">
      <formula>D45&lt;&gt;""</formula>
    </cfRule>
  </conditionalFormatting>
  <conditionalFormatting sqref="D54:K55">
    <cfRule type="expression" dxfId="232" priority="10">
      <formula>COLUMN(#REF!)&gt;2</formula>
    </cfRule>
  </conditionalFormatting>
  <conditionalFormatting sqref="D59:K67">
    <cfRule type="expression" dxfId="231" priority="3">
      <formula>D59&lt;&gt;""</formula>
    </cfRule>
  </conditionalFormatting>
  <conditionalFormatting sqref="D68:K69">
    <cfRule type="expression" dxfId="230" priority="8">
      <formula>COLUMN(#REF!)&gt;2</formula>
    </cfRule>
  </conditionalFormatting>
  <conditionalFormatting sqref="D73:K81">
    <cfRule type="expression" dxfId="229" priority="2">
      <formula>D73&lt;&gt;""</formula>
    </cfRule>
  </conditionalFormatting>
  <conditionalFormatting sqref="D82:K83">
    <cfRule type="expression" dxfId="228" priority="6">
      <formula>COLUMN(#REF!)&gt;2</formula>
    </cfRule>
  </conditionalFormatting>
  <conditionalFormatting sqref="E5:K10">
    <cfRule type="timePeriod" dxfId="227" priority="1" timePeriod="thisWeek">
      <formula>AND(TODAY()-ROUNDDOWN(E5,0)&lt;=WEEKDAY(TODAY())-1,ROUNDDOWN(E5,0)-TODAY()&lt;=7-WEEKDAY(TODAY()))</formula>
    </cfRule>
    <cfRule type="expression" dxfId="226" priority="39">
      <formula>VLOOKUP(DAY(E5),$O:$O,1,FALSE)=DAY(E5)</formula>
    </cfRule>
  </conditionalFormatting>
  <conditionalFormatting sqref="E9:K10 M10:M11">
    <cfRule type="expression" dxfId="225" priority="37" stopIfTrue="1">
      <formula>AND(DAY(E9)&gt;=1,DAY(E9)&lt;=15)</formula>
    </cfRule>
  </conditionalFormatting>
  <conditionalFormatting sqref="E56:K56 E70:K70">
    <cfRule type="expression" dxfId="224" priority="25">
      <formula>COLUMN(#REF!)&gt;2</formula>
    </cfRule>
  </conditionalFormatting>
  <conditionalFormatting sqref="R72 T72:U72">
    <cfRule type="expression" dxfId="223" priority="15" stopIfTrue="1">
      <formula>AND(DAY(R72)&gt;=1,DAY(R72)&lt;=15)</formula>
    </cfRule>
    <cfRule type="expression" dxfId="222" priority="24">
      <formula>VLOOKUP(DAY(R72),$O:$O,1,FALSE)=DAY(R72)</formula>
    </cfRule>
  </conditionalFormatting>
  <dataValidations count="10">
    <dataValidation allowBlank="1" showInputMessage="1" showErrorMessage="1" prompt="Enter the assignment details in this column that correspond to the weekday in column N and day in column O for the calendar month at left" sqref="N4" xr:uid="{C2E67371-9469-4A37-B76B-F79FA5DA94E8}"/>
    <dataValidation allowBlank="1" showInputMessage="1" showErrorMessage="1" prompt="Enter year in this cell" sqref="D5" xr:uid="{E09EF42F-697B-49B1-8E7E-9BF4570A0D6B}"/>
    <dataValidation allowBlank="1" showInputMessage="1" showErrorMessage="1" prompt="Day of the week goes in this row, starting in cell D16" sqref="A29 A15" xr:uid="{93F7C47B-F9AD-4107-A89F-520B45ABBF78}"/>
    <dataValidation allowBlank="1" showInputMessage="1" showErrorMessage="1" prompt="Weekdays are in this row, from Monday to Friday" sqref="C57 C43 E15:K15 C15 E29:K29 C29 C71" xr:uid="{3555E69E-D8EC-4371-9F54-E0F207ECA5AF}"/>
    <dataValidation allowBlank="1" showInputMessage="1" showErrorMessage="1" prompt="If this row contains a number less than the previous number or row of numbers, then this row contains dates for the next calendar month" sqref="E10" xr:uid="{09B2DEDB-C126-496F-8F2F-6814E17DF00E}"/>
    <dataValidation allowBlank="1" showInputMessage="1" showErrorMessage="1" prompt="Enter the time of your class and under it, in a new row, the class name for each weekday in columns D to K. Repeat this pattern for all classes in subsequent rows" sqref="D13" xr:uid="{660D01AB-F42D-4361-A728-7ABB5DE2A6CC}"/>
    <dataValidation allowBlank="1" showInputMessage="1" showErrorMessage="1" prompt="If this cell doesn’t contain the number 1, then it is a day from a previous month. Cells E5:K10 contain dates for the current month" sqref="E5" xr:uid="{9CC93D0D-0D33-4584-B58F-54E82510BC34}"/>
    <dataValidation allowBlank="1" showInputMessage="1" showErrorMessage="1" prompt="Cells E4:K4 contain weekdays" sqref="E4" xr:uid="{37AB14C0-2A4A-4955-940C-B51E76935716}"/>
    <dataValidation allowBlank="1" showInputMessage="1" showErrorMessage="1" prompt="Calendar automatically highlights assignment list entries for the month. Darker fonts are assignments. Lighter fonts are days that belong to the previous or next month" sqref="D4" xr:uid="{528C1183-7B6E-4E0C-AA10-BF45053B04EA}"/>
    <dataValidation allowBlank="1" showInputMessage="1" showErrorMessage="1" prompt="Prepare a weekly schedule &amp; create an assignment list in this worksheet. Assignment list entries are automatically highlighted in monthly calendar. Enter calendar year in cell D5" sqref="A1" xr:uid="{B94D1833-3249-4ED1-B29F-45A8E304DD99}"/>
  </dataValidations>
  <printOptions horizontalCentered="1" verticalCentered="1"/>
  <pageMargins left="0.25" right="0.25" top="0.5" bottom="0.5" header="0.3" footer="0.3"/>
  <pageSetup scale="21" orientation="landscape" r:id="rId1"/>
  <ignoredErrors>
    <ignoredError sqref="J10:K1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D575-D728-4946-ACAB-75733E877C60}">
  <sheetPr>
    <tabColor theme="6" tint="0.39997558519241921"/>
    <pageSetUpPr fitToPage="1"/>
  </sheetPr>
  <dimension ref="A1:U84"/>
  <sheetViews>
    <sheetView showGridLines="0" zoomScale="59" zoomScaleNormal="100" zoomScalePageLayoutView="84" workbookViewId="0">
      <selection activeCell="N15" sqref="N15:Q15"/>
    </sheetView>
  </sheetViews>
  <sheetFormatPr defaultColWidth="8.59765625" defaultRowHeight="30" customHeight="1" x14ac:dyDescent="0.25"/>
  <cols>
    <col min="1" max="2" width="5.59765625" customWidth="1"/>
    <col min="3" max="3" width="2.59765625" customWidth="1"/>
    <col min="4" max="4" width="19.5" customWidth="1"/>
    <col min="5" max="11" width="24.59765625" customWidth="1"/>
    <col min="12" max="12" width="2.59765625" customWidth="1"/>
    <col min="13" max="13" width="5.59765625" style="11" customWidth="1"/>
    <col min="14" max="14" width="12.59765625" style="50" customWidth="1"/>
    <col min="15" max="15" width="5.59765625" style="50" customWidth="1"/>
    <col min="16" max="16" width="2.59765625" customWidth="1"/>
    <col min="17" max="17" width="70.59765625" style="12" customWidth="1"/>
    <col min="18" max="19" width="5.59765625" customWidth="1"/>
  </cols>
  <sheetData>
    <row r="1" spans="1:19" ht="30" customHeight="1" x14ac:dyDescent="0.25">
      <c r="A1" s="54"/>
      <c r="B1" s="54"/>
      <c r="C1" s="54"/>
      <c r="D1" s="55"/>
      <c r="E1" s="54"/>
      <c r="F1" s="54"/>
      <c r="G1" s="54"/>
      <c r="H1" s="54"/>
      <c r="I1" s="54"/>
      <c r="J1" s="54"/>
      <c r="K1" s="54"/>
      <c r="L1" s="54"/>
      <c r="M1" s="60"/>
      <c r="N1" s="56"/>
      <c r="O1" s="56"/>
      <c r="P1" s="54"/>
      <c r="Q1" s="57"/>
      <c r="R1" s="54"/>
      <c r="S1" s="54"/>
    </row>
    <row r="2" spans="1:19" ht="30" customHeight="1" thickBot="1" x14ac:dyDescent="0.3">
      <c r="A2" s="54"/>
      <c r="D2" s="10"/>
      <c r="E2" s="10"/>
      <c r="F2" s="10"/>
      <c r="G2" s="10"/>
      <c r="H2" s="10"/>
      <c r="I2" s="10"/>
      <c r="J2" s="10"/>
      <c r="K2" s="10"/>
      <c r="N2"/>
      <c r="O2"/>
      <c r="S2" s="54"/>
    </row>
    <row r="3" spans="1:19" ht="30" customHeight="1" thickTop="1" x14ac:dyDescent="0.3">
      <c r="A3" s="54"/>
      <c r="C3" s="14"/>
      <c r="D3" s="15"/>
      <c r="E3" s="15"/>
      <c r="F3" s="15"/>
      <c r="G3" s="15"/>
      <c r="H3" s="15"/>
      <c r="I3" s="15"/>
      <c r="J3" s="15"/>
      <c r="K3" s="15"/>
      <c r="L3" s="16"/>
      <c r="N3" s="68"/>
      <c r="O3" s="64"/>
      <c r="P3" s="69"/>
      <c r="Q3" s="70"/>
      <c r="S3" s="54"/>
    </row>
    <row r="4" spans="1:19" ht="35.1" customHeight="1" x14ac:dyDescent="0.25">
      <c r="A4" s="54"/>
      <c r="C4" s="17"/>
      <c r="D4" s="61" t="s">
        <v>9</v>
      </c>
      <c r="E4" s="18" t="s">
        <v>1</v>
      </c>
      <c r="F4" s="18" t="s">
        <v>2</v>
      </c>
      <c r="G4" s="18" t="s">
        <v>3</v>
      </c>
      <c r="H4" s="18" t="s">
        <v>4</v>
      </c>
      <c r="I4" s="18" t="s">
        <v>5</v>
      </c>
      <c r="J4" s="18" t="s">
        <v>6</v>
      </c>
      <c r="K4" s="18" t="s">
        <v>7</v>
      </c>
      <c r="L4" s="19"/>
      <c r="N4" s="71"/>
      <c r="O4" s="69"/>
      <c r="P4" s="69"/>
      <c r="Q4" s="72"/>
      <c r="S4" s="54"/>
    </row>
    <row r="5" spans="1:19" ht="30" customHeight="1" x14ac:dyDescent="0.3">
      <c r="A5" s="58"/>
      <c r="B5" s="21"/>
      <c r="C5" s="22"/>
      <c r="D5" s="99">
        <f ca="1">CalendarYear</f>
        <v>2026</v>
      </c>
      <c r="E5" s="3">
        <f ca="1">IF(DAY(FebSun1)=1,FebSun1-6,FebSun1+1)</f>
        <v>46048</v>
      </c>
      <c r="F5" s="3">
        <f ca="1">IF(DAY(FebSun1)=1,FebSun1-5,FebSun1+2)</f>
        <v>46049</v>
      </c>
      <c r="G5" s="3">
        <f ca="1">IF(DAY(FebSun1)=1,FebSun1-4,FebSun1+3)</f>
        <v>46050</v>
      </c>
      <c r="H5" s="3">
        <f ca="1">IF(DAY(FebSun1)=1,FebSun1-3,FebSun1+4)</f>
        <v>46051</v>
      </c>
      <c r="I5" s="3">
        <f ca="1">IF(DAY(FebSun1)=1,FebSun1-2,FebSun1+5)</f>
        <v>46052</v>
      </c>
      <c r="J5" s="3">
        <f ca="1">IF(DAY(FebSun1)=1,FebSun1-1,FebSun1+6)</f>
        <v>46053</v>
      </c>
      <c r="K5" s="3">
        <f ca="1">IF(DAY(FebSun1)=1,FebSun1,FebSun1+7)</f>
        <v>46054</v>
      </c>
      <c r="L5" s="24"/>
      <c r="M5" s="25"/>
      <c r="N5" s="68"/>
      <c r="O5" s="69"/>
      <c r="P5" s="69"/>
      <c r="Q5" s="70"/>
      <c r="S5" s="54"/>
    </row>
    <row r="6" spans="1:19" ht="30" customHeight="1" x14ac:dyDescent="0.3">
      <c r="A6" s="58"/>
      <c r="B6" s="21"/>
      <c r="C6" s="22"/>
      <c r="D6" s="99"/>
      <c r="E6" s="3">
        <f ca="1">IF(DAY(FebSun1)=1,FebSun1+1,FebSun1+8)</f>
        <v>46055</v>
      </c>
      <c r="F6" s="3">
        <f ca="1">IF(DAY(FebSun1)=1,FebSun1+2,FebSun1+9)</f>
        <v>46056</v>
      </c>
      <c r="G6" s="3">
        <f ca="1">IF(DAY(FebSun1)=1,FebSun1+3,FebSun1+10)</f>
        <v>46057</v>
      </c>
      <c r="H6" s="3">
        <f ca="1">IF(DAY(FebSun1)=1,FebSun1+4,FebSun1+11)</f>
        <v>46058</v>
      </c>
      <c r="I6" s="3">
        <f ca="1">IF(DAY(FebSun1)=1,FebSun1+5,FebSun1+12)</f>
        <v>46059</v>
      </c>
      <c r="J6" s="3">
        <f ca="1">IF(DAY(FebSun1)=1,FebSun1+6,FebSun1+13)</f>
        <v>46060</v>
      </c>
      <c r="K6" s="3">
        <f ca="1">IF(DAY(FebSun1)=1,FebSun1+7,FebSun1+14)</f>
        <v>46061</v>
      </c>
      <c r="L6" s="24"/>
      <c r="M6" s="26"/>
      <c r="N6" s="73"/>
      <c r="O6" s="74"/>
      <c r="P6" s="74"/>
      <c r="Q6" s="70"/>
      <c r="S6" s="54"/>
    </row>
    <row r="7" spans="1:19" ht="30" customHeight="1" x14ac:dyDescent="0.25">
      <c r="A7" s="58"/>
      <c r="B7" s="21"/>
      <c r="C7" s="22"/>
      <c r="D7" s="27"/>
      <c r="E7" s="3">
        <f ca="1">IF(DAY(FebSun1)=1,FebSun1+8,FebSun1+15)</f>
        <v>46062</v>
      </c>
      <c r="F7" s="3">
        <f ca="1">IF(DAY(FebSun1)=1,FebSun1+9,FebSun1+16)</f>
        <v>46063</v>
      </c>
      <c r="G7" s="3">
        <f ca="1">IF(DAY(FebSun1)=1,FebSun1+10,FebSun1+17)</f>
        <v>46064</v>
      </c>
      <c r="H7" s="3">
        <f ca="1">IF(DAY(FebSun1)=1,FebSun1+11,FebSun1+18)</f>
        <v>46065</v>
      </c>
      <c r="I7" s="3">
        <f ca="1">IF(DAY(FebSun1)=1,FebSun1+12,FebSun1+19)</f>
        <v>46066</v>
      </c>
      <c r="J7" s="3">
        <f ca="1">IF(DAY(FebSun1)=1,FebSun1+13,FebSun1+20)</f>
        <v>46067</v>
      </c>
      <c r="K7" s="3">
        <f ca="1">IF(DAY(FebSun1)=1,FebSun1+14,FebSun1+21)</f>
        <v>46068</v>
      </c>
      <c r="L7" s="24"/>
      <c r="M7" s="26"/>
      <c r="N7" s="75"/>
      <c r="O7" s="76"/>
      <c r="P7" s="76"/>
      <c r="Q7" s="70"/>
      <c r="S7" s="54"/>
    </row>
    <row r="8" spans="1:19" ht="30" customHeight="1" x14ac:dyDescent="0.3">
      <c r="A8" s="58"/>
      <c r="B8" s="21"/>
      <c r="C8" s="22"/>
      <c r="D8" s="27"/>
      <c r="E8" s="3">
        <f ca="1">IF(DAY(FebSun1)=1,FebSun1+15,FebSun1+22)</f>
        <v>46069</v>
      </c>
      <c r="F8" s="3">
        <f ca="1">IF(DAY(FebSun1)=1,FebSun1+16,FebSun1+23)</f>
        <v>46070</v>
      </c>
      <c r="G8" s="3">
        <f ca="1">IF(DAY(FebSun1)=1,FebSun1+17,FebSun1+24)</f>
        <v>46071</v>
      </c>
      <c r="H8" s="3">
        <f ca="1">IF(DAY(FebSun1)=1,FebSun1+18,FebSun1+25)</f>
        <v>46072</v>
      </c>
      <c r="I8" s="3">
        <f ca="1">IF(DAY(FebSun1)=1,FebSun1+19,FebSun1+26)</f>
        <v>46073</v>
      </c>
      <c r="J8" s="3">
        <f ca="1">IF(DAY(FebSun1)=1,FebSun1+20,FebSun1+27)</f>
        <v>46074</v>
      </c>
      <c r="K8" s="3">
        <f ca="1">IF(DAY(FebSun1)=1,FebSun1+21,FebSun1+28)</f>
        <v>46075</v>
      </c>
      <c r="L8" s="24"/>
      <c r="M8" s="26"/>
      <c r="N8" s="77"/>
      <c r="O8" s="62"/>
      <c r="P8" s="62"/>
      <c r="Q8" s="70"/>
      <c r="S8" s="54"/>
    </row>
    <row r="9" spans="1:19" ht="30" customHeight="1" x14ac:dyDescent="0.3">
      <c r="A9" s="58"/>
      <c r="B9" s="21"/>
      <c r="C9" s="22"/>
      <c r="D9" s="27"/>
      <c r="E9" s="3">
        <f ca="1">IF(DAY(FebSun1)=1,FebSun1+22,FebSun1+29)</f>
        <v>46076</v>
      </c>
      <c r="F9" s="3">
        <f ca="1">IF(DAY(FebSun1)=1,FebSun1+23,FebSun1+30)</f>
        <v>46077</v>
      </c>
      <c r="G9" s="3">
        <f ca="1">IF(DAY(FebSun1)=1,FebSun1+24,FebSun1+31)</f>
        <v>46078</v>
      </c>
      <c r="H9" s="3">
        <f ca="1">IF(DAY(FebSun1)=1,FebSun1+25,FebSun1+32)</f>
        <v>46079</v>
      </c>
      <c r="I9" s="3">
        <f ca="1">IF(DAY(FebSun1)=1,FebSun1+26,FebSun1+33)</f>
        <v>46080</v>
      </c>
      <c r="J9" s="3">
        <f ca="1">IF(DAY(FebSun1)=1,FebSun1+27,FebSun1+34)</f>
        <v>46081</v>
      </c>
      <c r="K9" s="3">
        <f ca="1">IF(DAY(FebSun1)=1,FebSun1+28,FebSun1+35)</f>
        <v>46082</v>
      </c>
      <c r="L9" s="24"/>
      <c r="M9" s="26"/>
      <c r="N9" s="77"/>
      <c r="O9" s="62"/>
      <c r="P9" s="62"/>
      <c r="Q9" s="70"/>
      <c r="S9" s="54"/>
    </row>
    <row r="10" spans="1:19" ht="30" customHeight="1" x14ac:dyDescent="0.3">
      <c r="A10" s="58"/>
      <c r="B10" s="21"/>
      <c r="C10" s="22"/>
      <c r="D10" s="27"/>
      <c r="E10" s="3">
        <f ca="1">IF(DAY(FebSun1)=1,FebSun1+29,FebSun1+36)</f>
        <v>46083</v>
      </c>
      <c r="F10" s="3">
        <f ca="1">IF(DAY(FebSun1)=1,FebSun1+30,FebSun1+37)</f>
        <v>46084</v>
      </c>
      <c r="G10" s="3">
        <f ca="1">IF(DAY(FebSun1)=1,FebSun1+31,FebSun1+38)</f>
        <v>46085</v>
      </c>
      <c r="H10" s="3">
        <f ca="1">IF(DAY(FebSun1)=1,FebSun1+32,FebSun1+39)</f>
        <v>46086</v>
      </c>
      <c r="I10" s="3">
        <f ca="1">IF(DAY(FebSun1)=1,FebSun1+33,FebSun1+40)</f>
        <v>46087</v>
      </c>
      <c r="J10" s="3">
        <f ca="1">IF(DAY(FebSun1)=1,FebSun1+34,FebSun1+41)</f>
        <v>46088</v>
      </c>
      <c r="K10" s="3">
        <f ca="1">IF(DAY(FebSun1)=1,FebSun1+35,FebSun1+42)</f>
        <v>46089</v>
      </c>
      <c r="L10" s="30"/>
      <c r="M10" s="26"/>
      <c r="N10" s="77"/>
      <c r="O10" s="62"/>
      <c r="P10" s="62"/>
      <c r="Q10" s="78"/>
      <c r="S10" s="54"/>
    </row>
    <row r="11" spans="1:19" ht="30" customHeight="1" thickBot="1" x14ac:dyDescent="0.35">
      <c r="A11" s="58"/>
      <c r="B11" s="21"/>
      <c r="C11" s="31"/>
      <c r="D11" s="10"/>
      <c r="E11" s="10"/>
      <c r="F11" s="10"/>
      <c r="G11" s="10"/>
      <c r="H11" s="10"/>
      <c r="I11" s="10"/>
      <c r="J11" s="10"/>
      <c r="K11" s="10"/>
      <c r="L11" s="32"/>
      <c r="M11" s="33"/>
      <c r="N11" s="77"/>
      <c r="O11" s="62"/>
      <c r="P11" s="62"/>
      <c r="Q11" s="78"/>
      <c r="S11" s="54"/>
    </row>
    <row r="12" spans="1:19" ht="30" customHeight="1" thickTop="1" x14ac:dyDescent="0.25">
      <c r="A12" s="58"/>
      <c r="B12" s="21"/>
      <c r="C12" s="21"/>
      <c r="D12" s="34"/>
      <c r="E12" s="15"/>
      <c r="F12" s="15"/>
      <c r="G12" s="15"/>
      <c r="H12" s="15"/>
      <c r="I12" s="15"/>
      <c r="J12" s="15"/>
      <c r="K12" s="15"/>
      <c r="N12" s="75"/>
      <c r="O12" s="76"/>
      <c r="P12" s="76"/>
      <c r="Q12" s="65"/>
      <c r="S12" s="54"/>
    </row>
    <row r="13" spans="1:19" ht="30" customHeight="1" x14ac:dyDescent="0.25">
      <c r="A13" s="58"/>
      <c r="B13" s="21"/>
      <c r="C13" s="21"/>
      <c r="D13" s="2" t="s">
        <v>8</v>
      </c>
      <c r="E13" s="35"/>
      <c r="F13" s="35"/>
      <c r="G13" s="35"/>
      <c r="H13" s="35"/>
      <c r="I13" s="35"/>
      <c r="J13" s="35"/>
      <c r="K13" s="35"/>
      <c r="N13" s="75"/>
      <c r="O13" s="76"/>
      <c r="P13" s="76"/>
      <c r="Q13" s="65"/>
      <c r="S13" s="58"/>
    </row>
    <row r="14" spans="1:19" ht="30" customHeight="1" thickBot="1" x14ac:dyDescent="0.45">
      <c r="A14" s="58"/>
      <c r="B14" s="21"/>
      <c r="C14" s="21"/>
      <c r="D14" s="84"/>
      <c r="E14" s="37"/>
      <c r="F14" s="37"/>
      <c r="G14" s="37"/>
      <c r="H14" s="37"/>
      <c r="I14" s="37"/>
      <c r="J14" s="37"/>
      <c r="K14" s="37"/>
      <c r="L14" s="37"/>
      <c r="M14" s="36"/>
      <c r="N14" s="95" t="s">
        <v>20</v>
      </c>
      <c r="O14" s="95"/>
      <c r="P14" s="95"/>
      <c r="Q14" s="65"/>
      <c r="S14" s="54"/>
    </row>
    <row r="15" spans="1:19" ht="30" customHeight="1" thickTop="1" x14ac:dyDescent="0.3">
      <c r="A15" s="59"/>
      <c r="B15" s="38"/>
      <c r="C15" s="88" t="s">
        <v>20</v>
      </c>
      <c r="D15" s="89"/>
      <c r="E15" s="92"/>
      <c r="F15" s="92"/>
      <c r="G15" s="92"/>
      <c r="H15" s="92"/>
      <c r="I15" s="92"/>
      <c r="J15" s="92"/>
      <c r="K15" s="92" t="str">
        <f ca="1">TEXT(K5, "ddd dd/mm")</f>
        <v>Sun 01/02</v>
      </c>
      <c r="L15" s="39"/>
      <c r="M15" s="40"/>
      <c r="N15" s="96"/>
      <c r="O15" s="97"/>
      <c r="P15" s="97"/>
      <c r="Q15" s="98"/>
      <c r="S15" s="54"/>
    </row>
    <row r="16" spans="1:19" ht="30" customHeight="1" x14ac:dyDescent="0.3">
      <c r="A16" s="59"/>
      <c r="B16" s="38"/>
      <c r="C16" s="90"/>
      <c r="D16" s="91"/>
      <c r="E16" s="93"/>
      <c r="F16" s="93"/>
      <c r="G16" s="93"/>
      <c r="H16" s="93"/>
      <c r="I16" s="93"/>
      <c r="J16" s="93"/>
      <c r="K16" s="93"/>
      <c r="L16" s="41"/>
      <c r="N16" s="96"/>
      <c r="O16" s="97"/>
      <c r="P16" s="97"/>
      <c r="Q16" s="98"/>
      <c r="S16" s="54"/>
    </row>
    <row r="17" spans="1:19" ht="30" customHeight="1" x14ac:dyDescent="0.3">
      <c r="A17" s="59"/>
      <c r="B17" s="38"/>
      <c r="C17" s="42"/>
      <c r="D17" s="43"/>
      <c r="E17" s="86"/>
      <c r="F17" s="86"/>
      <c r="G17" s="86"/>
      <c r="H17" s="86"/>
      <c r="I17" s="86"/>
      <c r="J17" s="86"/>
      <c r="K17" s="86"/>
      <c r="L17" s="66"/>
      <c r="M17" s="67"/>
      <c r="N17" s="96"/>
      <c r="O17" s="97"/>
      <c r="P17" s="97"/>
      <c r="Q17" s="98"/>
      <c r="S17" s="54"/>
    </row>
    <row r="18" spans="1:19" ht="30" customHeight="1" x14ac:dyDescent="0.3">
      <c r="A18" s="59"/>
      <c r="B18" s="38"/>
      <c r="C18" s="42"/>
      <c r="D18" s="43"/>
      <c r="E18" s="86"/>
      <c r="F18" s="86"/>
      <c r="G18" s="86"/>
      <c r="H18" s="86"/>
      <c r="I18" s="86"/>
      <c r="J18" s="86"/>
      <c r="K18" s="86"/>
      <c r="L18" s="44"/>
      <c r="N18" s="96"/>
      <c r="O18" s="97"/>
      <c r="P18" s="97"/>
      <c r="Q18" s="98"/>
      <c r="S18" s="54"/>
    </row>
    <row r="19" spans="1:19" ht="30" customHeight="1" x14ac:dyDescent="0.3">
      <c r="A19" s="59"/>
      <c r="B19" s="38"/>
      <c r="C19" s="42"/>
      <c r="D19" s="43"/>
      <c r="E19" s="86"/>
      <c r="F19" s="86"/>
      <c r="G19" s="86"/>
      <c r="H19" s="86"/>
      <c r="I19" s="86"/>
      <c r="J19" s="86"/>
      <c r="K19" s="86"/>
      <c r="L19" s="45"/>
      <c r="N19" s="96"/>
      <c r="O19" s="97"/>
      <c r="P19" s="97"/>
      <c r="Q19" s="98"/>
      <c r="S19" s="54"/>
    </row>
    <row r="20" spans="1:19" ht="30" customHeight="1" x14ac:dyDescent="0.3">
      <c r="A20" s="59"/>
      <c r="B20" s="38"/>
      <c r="C20" s="42"/>
      <c r="D20" s="43"/>
      <c r="E20" s="86"/>
      <c r="F20" s="86"/>
      <c r="G20" s="86"/>
      <c r="H20" s="86"/>
      <c r="I20" s="86"/>
      <c r="J20" s="86"/>
      <c r="K20" s="86"/>
      <c r="L20" s="44"/>
      <c r="N20" s="96"/>
      <c r="O20" s="97"/>
      <c r="P20" s="97"/>
      <c r="Q20" s="98"/>
      <c r="S20" s="54"/>
    </row>
    <row r="21" spans="1:19" ht="30" customHeight="1" x14ac:dyDescent="0.3">
      <c r="A21" s="59"/>
      <c r="B21" s="38"/>
      <c r="C21" s="42"/>
      <c r="D21" s="43"/>
      <c r="E21" s="86"/>
      <c r="F21" s="86"/>
      <c r="G21" s="86"/>
      <c r="H21" s="86"/>
      <c r="I21" s="86"/>
      <c r="J21" s="86"/>
      <c r="K21" s="86"/>
      <c r="L21" s="45"/>
      <c r="N21" s="96"/>
      <c r="O21" s="97"/>
      <c r="P21" s="97"/>
      <c r="Q21" s="98"/>
      <c r="S21" s="54"/>
    </row>
    <row r="22" spans="1:19" ht="30" customHeight="1" x14ac:dyDescent="0.3">
      <c r="A22" s="59"/>
      <c r="B22" s="38"/>
      <c r="C22" s="42"/>
      <c r="D22" s="43"/>
      <c r="E22" s="86"/>
      <c r="F22" s="86"/>
      <c r="G22" s="86"/>
      <c r="H22" s="86"/>
      <c r="I22" s="86"/>
      <c r="J22" s="86"/>
      <c r="K22" s="86"/>
      <c r="L22" s="44"/>
      <c r="N22" s="96"/>
      <c r="O22" s="97"/>
      <c r="P22" s="97"/>
      <c r="Q22" s="98"/>
      <c r="S22" s="54"/>
    </row>
    <row r="23" spans="1:19" ht="30" customHeight="1" x14ac:dyDescent="0.3">
      <c r="A23" s="59"/>
      <c r="B23" s="38"/>
      <c r="C23" s="42"/>
      <c r="D23" s="43"/>
      <c r="E23" s="86"/>
      <c r="F23" s="86"/>
      <c r="G23" s="86"/>
      <c r="H23" s="86"/>
      <c r="I23" s="86"/>
      <c r="J23" s="86"/>
      <c r="K23" s="86"/>
      <c r="L23" s="45"/>
      <c r="N23" s="96"/>
      <c r="O23" s="97"/>
      <c r="P23" s="97"/>
      <c r="Q23" s="98"/>
      <c r="S23" s="54"/>
    </row>
    <row r="24" spans="1:19" ht="30" customHeight="1" x14ac:dyDescent="0.3">
      <c r="A24" s="59"/>
      <c r="B24" s="38"/>
      <c r="C24" s="42"/>
      <c r="D24" s="43"/>
      <c r="E24" s="86"/>
      <c r="F24" s="86"/>
      <c r="G24" s="86"/>
      <c r="H24" s="86"/>
      <c r="I24" s="86"/>
      <c r="J24" s="86"/>
      <c r="K24" s="86"/>
      <c r="L24" s="46"/>
      <c r="N24" s="96"/>
      <c r="O24" s="97"/>
      <c r="P24" s="97"/>
      <c r="Q24" s="98"/>
      <c r="S24" s="54"/>
    </row>
    <row r="25" spans="1:19" ht="30" customHeight="1" x14ac:dyDescent="0.3">
      <c r="A25" s="59"/>
      <c r="B25" s="38"/>
      <c r="C25" s="42"/>
      <c r="D25" s="43"/>
      <c r="E25" s="86"/>
      <c r="F25" s="86"/>
      <c r="G25" s="86"/>
      <c r="H25" s="86"/>
      <c r="I25" s="86"/>
      <c r="J25" s="86"/>
      <c r="K25" s="86"/>
      <c r="L25" s="46"/>
      <c r="N25" s="96"/>
      <c r="O25" s="97"/>
      <c r="P25" s="97"/>
      <c r="Q25" s="98"/>
      <c r="S25" s="54"/>
    </row>
    <row r="26" spans="1:19" ht="30" customHeight="1" thickBot="1" x14ac:dyDescent="0.35">
      <c r="A26" s="59"/>
      <c r="B26" s="38"/>
      <c r="C26" s="47"/>
      <c r="D26" s="48"/>
      <c r="E26" s="87"/>
      <c r="F26" s="87"/>
      <c r="G26" s="87"/>
      <c r="H26" s="87"/>
      <c r="I26" s="87"/>
      <c r="J26" s="87"/>
      <c r="K26" s="87"/>
      <c r="L26" s="49"/>
      <c r="N26" s="96"/>
      <c r="O26" s="97"/>
      <c r="P26" s="97"/>
      <c r="Q26" s="98"/>
      <c r="S26" s="54"/>
    </row>
    <row r="27" spans="1:19" ht="30" customHeight="1" thickTop="1" x14ac:dyDescent="0.3">
      <c r="A27" s="59"/>
      <c r="B27" s="38"/>
      <c r="C27" s="38"/>
      <c r="D27" s="63"/>
      <c r="E27" s="63"/>
      <c r="F27" s="63"/>
      <c r="G27" s="63"/>
      <c r="H27" s="63"/>
      <c r="I27" s="63"/>
      <c r="J27" s="63"/>
      <c r="K27" s="63"/>
      <c r="L27" s="63"/>
      <c r="N27" s="64"/>
      <c r="O27" s="64"/>
      <c r="P27" s="62"/>
      <c r="Q27" s="65"/>
      <c r="S27" s="54"/>
    </row>
    <row r="28" spans="1:19" ht="30" customHeight="1" thickBot="1" x14ac:dyDescent="0.45">
      <c r="A28" s="58"/>
      <c r="B28" s="21"/>
      <c r="C28" s="21"/>
      <c r="D28" s="84" t="s">
        <v>21</v>
      </c>
      <c r="E28" s="37"/>
      <c r="F28" s="37"/>
      <c r="G28" s="37"/>
      <c r="H28" s="37"/>
      <c r="I28" s="37"/>
      <c r="J28" s="37"/>
      <c r="K28" s="37"/>
      <c r="L28" s="37"/>
      <c r="M28" s="36"/>
      <c r="N28" s="95" t="s">
        <v>21</v>
      </c>
      <c r="O28" s="95"/>
      <c r="P28" s="95"/>
      <c r="Q28" s="65"/>
      <c r="S28" s="54"/>
    </row>
    <row r="29" spans="1:19" ht="30" customHeight="1" thickTop="1" x14ac:dyDescent="0.3">
      <c r="A29" s="59"/>
      <c r="B29" s="38"/>
      <c r="C29" s="88" t="s">
        <v>20</v>
      </c>
      <c r="D29" s="89"/>
      <c r="E29" s="92" t="str">
        <f ca="1">TEXT(E6, "ddd dd/mm")</f>
        <v>Mon 02/02</v>
      </c>
      <c r="F29" s="92" t="str">
        <f t="shared" ref="F29:J29" ca="1" si="0">TEXT(F6, "ddd dd/mm")</f>
        <v>Tue 03/02</v>
      </c>
      <c r="G29" s="92" t="str">
        <f t="shared" ca="1" si="0"/>
        <v>Wed 04/02</v>
      </c>
      <c r="H29" s="92" t="str">
        <f t="shared" ca="1" si="0"/>
        <v>Thu 05/02</v>
      </c>
      <c r="I29" s="92" t="str">
        <f t="shared" ca="1" si="0"/>
        <v>Fri 06/02</v>
      </c>
      <c r="J29" s="92" t="str">
        <f t="shared" ca="1" si="0"/>
        <v>Sat 07/02</v>
      </c>
      <c r="K29" s="92" t="str">
        <f ca="1">TEXT(K6, "ddd dd/mm")</f>
        <v>Sun 08/02</v>
      </c>
      <c r="L29" s="39"/>
      <c r="M29" s="40"/>
      <c r="N29" s="96"/>
      <c r="O29" s="97"/>
      <c r="P29" s="97"/>
      <c r="Q29" s="98"/>
      <c r="S29" s="54"/>
    </row>
    <row r="30" spans="1:19" ht="30" customHeight="1" x14ac:dyDescent="0.3">
      <c r="A30" s="59"/>
      <c r="B30" s="38"/>
      <c r="C30" s="90"/>
      <c r="D30" s="91"/>
      <c r="E30" s="93"/>
      <c r="F30" s="93"/>
      <c r="G30" s="93"/>
      <c r="H30" s="93"/>
      <c r="I30" s="93"/>
      <c r="J30" s="93"/>
      <c r="K30" s="93"/>
      <c r="L30" s="41"/>
      <c r="N30" s="96"/>
      <c r="O30" s="97"/>
      <c r="P30" s="97"/>
      <c r="Q30" s="98"/>
      <c r="S30" s="54"/>
    </row>
    <row r="31" spans="1:19" ht="30" customHeight="1" x14ac:dyDescent="0.3">
      <c r="A31" s="59"/>
      <c r="B31" s="38"/>
      <c r="C31" s="42"/>
      <c r="D31" s="43"/>
      <c r="E31" s="86"/>
      <c r="F31" s="86"/>
      <c r="G31" s="86"/>
      <c r="H31" s="86"/>
      <c r="I31" s="86"/>
      <c r="J31" s="86"/>
      <c r="K31" s="86"/>
      <c r="L31" s="66"/>
      <c r="M31" s="67"/>
      <c r="N31" s="96"/>
      <c r="O31" s="97"/>
      <c r="P31" s="97"/>
      <c r="Q31" s="98"/>
      <c r="S31" s="54"/>
    </row>
    <row r="32" spans="1:19" ht="30" customHeight="1" x14ac:dyDescent="0.3">
      <c r="A32" s="59"/>
      <c r="B32" s="38"/>
      <c r="C32" s="42"/>
      <c r="D32" s="43"/>
      <c r="E32" s="86"/>
      <c r="F32" s="86"/>
      <c r="G32" s="86"/>
      <c r="H32" s="86"/>
      <c r="I32" s="86"/>
      <c r="J32" s="86"/>
      <c r="K32" s="86"/>
      <c r="L32" s="44"/>
      <c r="N32" s="96"/>
      <c r="O32" s="97"/>
      <c r="P32" s="97"/>
      <c r="Q32" s="98"/>
      <c r="S32" s="54"/>
    </row>
    <row r="33" spans="1:19" ht="30" customHeight="1" x14ac:dyDescent="0.3">
      <c r="A33" s="59"/>
      <c r="B33" s="38"/>
      <c r="C33" s="42"/>
      <c r="D33" s="43"/>
      <c r="E33" s="86"/>
      <c r="F33" s="86"/>
      <c r="G33" s="86"/>
      <c r="H33" s="86"/>
      <c r="I33" s="86"/>
      <c r="J33" s="86"/>
      <c r="K33" s="86"/>
      <c r="L33" s="45"/>
      <c r="N33" s="96"/>
      <c r="O33" s="97"/>
      <c r="P33" s="97"/>
      <c r="Q33" s="98"/>
      <c r="S33" s="54"/>
    </row>
    <row r="34" spans="1:19" ht="30" customHeight="1" x14ac:dyDescent="0.3">
      <c r="A34" s="59"/>
      <c r="B34" s="38"/>
      <c r="C34" s="42"/>
      <c r="D34" s="43"/>
      <c r="E34" s="86"/>
      <c r="F34" s="86"/>
      <c r="G34" s="86"/>
      <c r="H34" s="86"/>
      <c r="I34" s="86"/>
      <c r="J34" s="86"/>
      <c r="K34" s="86"/>
      <c r="L34" s="44"/>
      <c r="N34" s="96"/>
      <c r="O34" s="97"/>
      <c r="P34" s="97"/>
      <c r="Q34" s="98"/>
      <c r="S34" s="54"/>
    </row>
    <row r="35" spans="1:19" ht="30" customHeight="1" x14ac:dyDescent="0.3">
      <c r="A35" s="59"/>
      <c r="B35" s="38"/>
      <c r="C35" s="42"/>
      <c r="D35" s="43"/>
      <c r="E35" s="86"/>
      <c r="F35" s="86"/>
      <c r="G35" s="86"/>
      <c r="H35" s="86"/>
      <c r="I35" s="86"/>
      <c r="J35" s="86"/>
      <c r="K35" s="86"/>
      <c r="L35" s="45"/>
      <c r="N35" s="96"/>
      <c r="O35" s="97"/>
      <c r="P35" s="97"/>
      <c r="Q35" s="98"/>
      <c r="S35" s="54"/>
    </row>
    <row r="36" spans="1:19" ht="30" customHeight="1" x14ac:dyDescent="0.3">
      <c r="A36" s="59"/>
      <c r="B36" s="38"/>
      <c r="C36" s="42"/>
      <c r="D36" s="43"/>
      <c r="E36" s="86"/>
      <c r="F36" s="86"/>
      <c r="G36" s="86"/>
      <c r="H36" s="86"/>
      <c r="I36" s="86"/>
      <c r="J36" s="86"/>
      <c r="K36" s="86"/>
      <c r="L36" s="44"/>
      <c r="N36" s="96"/>
      <c r="O36" s="97"/>
      <c r="P36" s="97"/>
      <c r="Q36" s="98"/>
      <c r="S36" s="54"/>
    </row>
    <row r="37" spans="1:19" ht="30" customHeight="1" x14ac:dyDescent="0.3">
      <c r="A37" s="59"/>
      <c r="B37" s="38"/>
      <c r="C37" s="42"/>
      <c r="D37" s="43"/>
      <c r="E37" s="86"/>
      <c r="F37" s="86"/>
      <c r="G37" s="86"/>
      <c r="H37" s="86"/>
      <c r="I37" s="86"/>
      <c r="J37" s="86"/>
      <c r="K37" s="86"/>
      <c r="L37" s="45"/>
      <c r="N37" s="96"/>
      <c r="O37" s="97"/>
      <c r="P37" s="97"/>
      <c r="Q37" s="98"/>
      <c r="S37" s="54"/>
    </row>
    <row r="38" spans="1:19" ht="30" customHeight="1" x14ac:dyDescent="0.3">
      <c r="A38" s="59"/>
      <c r="B38" s="38"/>
      <c r="C38" s="42"/>
      <c r="D38" s="43"/>
      <c r="E38" s="86"/>
      <c r="F38" s="86"/>
      <c r="G38" s="86"/>
      <c r="H38" s="86"/>
      <c r="I38" s="86"/>
      <c r="J38" s="86"/>
      <c r="K38" s="86"/>
      <c r="L38" s="46"/>
      <c r="N38" s="96"/>
      <c r="O38" s="97"/>
      <c r="P38" s="97"/>
      <c r="Q38" s="98"/>
      <c r="S38" s="54"/>
    </row>
    <row r="39" spans="1:19" ht="30" customHeight="1" x14ac:dyDescent="0.3">
      <c r="A39" s="59"/>
      <c r="B39" s="38"/>
      <c r="C39" s="42"/>
      <c r="D39" s="43"/>
      <c r="E39" s="86"/>
      <c r="F39" s="86"/>
      <c r="G39" s="86"/>
      <c r="H39" s="86"/>
      <c r="I39" s="86"/>
      <c r="J39" s="86"/>
      <c r="K39" s="86"/>
      <c r="L39" s="46"/>
      <c r="N39" s="96"/>
      <c r="O39" s="97"/>
      <c r="P39" s="97"/>
      <c r="Q39" s="98"/>
      <c r="S39" s="54"/>
    </row>
    <row r="40" spans="1:19" ht="30" customHeight="1" thickBot="1" x14ac:dyDescent="0.35">
      <c r="A40" s="59"/>
      <c r="B40" s="38"/>
      <c r="C40" s="47"/>
      <c r="D40" s="48"/>
      <c r="E40" s="87"/>
      <c r="F40" s="87"/>
      <c r="G40" s="87"/>
      <c r="H40" s="87"/>
      <c r="I40" s="87"/>
      <c r="J40" s="87"/>
      <c r="K40" s="87"/>
      <c r="L40" s="49"/>
      <c r="N40" s="96"/>
      <c r="O40" s="97"/>
      <c r="P40" s="97"/>
      <c r="Q40" s="98"/>
      <c r="S40" s="54"/>
    </row>
    <row r="41" spans="1:19" ht="30" customHeight="1" thickTop="1" x14ac:dyDescent="0.3">
      <c r="A41" s="59"/>
      <c r="B41" s="38"/>
      <c r="C41" s="38"/>
      <c r="D41" s="63"/>
      <c r="E41" s="63"/>
      <c r="F41" s="63"/>
      <c r="G41" s="63"/>
      <c r="H41" s="63"/>
      <c r="I41" s="63"/>
      <c r="J41" s="63"/>
      <c r="K41" s="63"/>
      <c r="L41" s="63"/>
      <c r="N41" s="64"/>
      <c r="O41" s="64"/>
      <c r="P41" s="62"/>
      <c r="Q41" s="65"/>
      <c r="S41" s="54"/>
    </row>
    <row r="42" spans="1:19" ht="30" customHeight="1" thickBot="1" x14ac:dyDescent="0.45">
      <c r="A42" s="59"/>
      <c r="B42" s="38"/>
      <c r="C42" s="38"/>
      <c r="D42" s="84" t="s">
        <v>22</v>
      </c>
      <c r="E42" s="37"/>
      <c r="F42" s="37"/>
      <c r="G42" s="37"/>
      <c r="H42" s="37"/>
      <c r="I42" s="37"/>
      <c r="J42" s="37"/>
      <c r="K42" s="37"/>
      <c r="L42" s="48"/>
      <c r="N42" s="95" t="s">
        <v>22</v>
      </c>
      <c r="O42" s="95"/>
      <c r="P42" s="95"/>
      <c r="Q42" s="65"/>
      <c r="S42" s="54"/>
    </row>
    <row r="43" spans="1:19" ht="30" customHeight="1" thickTop="1" x14ac:dyDescent="0.3">
      <c r="A43" s="59"/>
      <c r="B43" s="38"/>
      <c r="C43" s="88" t="s">
        <v>20</v>
      </c>
      <c r="D43" s="89"/>
      <c r="E43" s="92" t="str">
        <f ca="1">TEXT(E7, "ddd dd/mm")</f>
        <v>Mon 09/02</v>
      </c>
      <c r="F43" s="92" t="str">
        <f t="shared" ref="F43:K43" ca="1" si="1">TEXT(F7, "ddd dd/mm")</f>
        <v>Tue 10/02</v>
      </c>
      <c r="G43" s="92" t="str">
        <f t="shared" ca="1" si="1"/>
        <v>Wed 11/02</v>
      </c>
      <c r="H43" s="92" t="str">
        <f t="shared" ca="1" si="1"/>
        <v>Thu 12/02</v>
      </c>
      <c r="I43" s="92" t="str">
        <f t="shared" ca="1" si="1"/>
        <v>Fri 13/02</v>
      </c>
      <c r="J43" s="92" t="str">
        <f t="shared" ca="1" si="1"/>
        <v>Sat 14/02</v>
      </c>
      <c r="K43" s="92" t="str">
        <f t="shared" ca="1" si="1"/>
        <v>Sun 15/02</v>
      </c>
      <c r="L43" s="39"/>
      <c r="N43" s="96"/>
      <c r="O43" s="97"/>
      <c r="P43" s="97"/>
      <c r="Q43" s="98"/>
      <c r="S43" s="54"/>
    </row>
    <row r="44" spans="1:19" ht="30" customHeight="1" x14ac:dyDescent="0.3">
      <c r="A44" s="59"/>
      <c r="B44" s="38"/>
      <c r="C44" s="90"/>
      <c r="D44" s="91"/>
      <c r="E44" s="93"/>
      <c r="F44" s="93"/>
      <c r="G44" s="93"/>
      <c r="H44" s="93"/>
      <c r="I44" s="93"/>
      <c r="J44" s="93"/>
      <c r="K44" s="93"/>
      <c r="L44" s="41"/>
      <c r="N44" s="96"/>
      <c r="O44" s="97"/>
      <c r="P44" s="97"/>
      <c r="Q44" s="98"/>
      <c r="S44" s="54"/>
    </row>
    <row r="45" spans="1:19" ht="30" customHeight="1" x14ac:dyDescent="0.3">
      <c r="A45" s="59"/>
      <c r="B45" s="38"/>
      <c r="C45" s="42"/>
      <c r="D45" s="43"/>
      <c r="E45" s="86"/>
      <c r="F45" s="86"/>
      <c r="G45" s="86"/>
      <c r="H45" s="86"/>
      <c r="I45" s="86"/>
      <c r="J45" s="86"/>
      <c r="K45" s="86"/>
      <c r="L45" s="66"/>
      <c r="N45" s="96"/>
      <c r="O45" s="97"/>
      <c r="P45" s="97"/>
      <c r="Q45" s="98"/>
      <c r="S45" s="54"/>
    </row>
    <row r="46" spans="1:19" ht="30" customHeight="1" x14ac:dyDescent="0.3">
      <c r="A46" s="59"/>
      <c r="B46" s="38"/>
      <c r="C46" s="42"/>
      <c r="D46" s="43"/>
      <c r="E46" s="86"/>
      <c r="F46" s="86"/>
      <c r="G46" s="86"/>
      <c r="H46" s="86"/>
      <c r="I46" s="86"/>
      <c r="J46" s="86"/>
      <c r="K46" s="86"/>
      <c r="L46" s="44"/>
      <c r="N46" s="96"/>
      <c r="O46" s="97"/>
      <c r="P46" s="97"/>
      <c r="Q46" s="98"/>
      <c r="S46" s="54"/>
    </row>
    <row r="47" spans="1:19" ht="30" customHeight="1" x14ac:dyDescent="0.3">
      <c r="A47" s="59"/>
      <c r="B47" s="38"/>
      <c r="C47" s="42"/>
      <c r="D47" s="43"/>
      <c r="E47" s="86"/>
      <c r="F47" s="86"/>
      <c r="G47" s="86"/>
      <c r="H47" s="86"/>
      <c r="I47" s="86"/>
      <c r="J47" s="86"/>
      <c r="K47" s="86"/>
      <c r="L47" s="45"/>
      <c r="N47" s="96"/>
      <c r="O47" s="97"/>
      <c r="P47" s="97"/>
      <c r="Q47" s="98"/>
      <c r="S47" s="54"/>
    </row>
    <row r="48" spans="1:19" ht="30" customHeight="1" x14ac:dyDescent="0.3">
      <c r="A48" s="59"/>
      <c r="B48" s="38"/>
      <c r="C48" s="42"/>
      <c r="D48" s="43"/>
      <c r="E48" s="86"/>
      <c r="F48" s="86"/>
      <c r="G48" s="86"/>
      <c r="H48" s="86"/>
      <c r="I48" s="86"/>
      <c r="J48" s="86"/>
      <c r="K48" s="86"/>
      <c r="L48" s="44"/>
      <c r="N48" s="96"/>
      <c r="O48" s="97"/>
      <c r="P48" s="97"/>
      <c r="Q48" s="98"/>
      <c r="S48" s="54"/>
    </row>
    <row r="49" spans="1:19" ht="30" customHeight="1" x14ac:dyDescent="0.3">
      <c r="A49" s="59"/>
      <c r="B49" s="38"/>
      <c r="C49" s="42"/>
      <c r="D49" s="43"/>
      <c r="E49" s="86"/>
      <c r="F49" s="86"/>
      <c r="G49" s="86"/>
      <c r="H49" s="86"/>
      <c r="I49" s="86"/>
      <c r="J49" s="86"/>
      <c r="K49" s="86"/>
      <c r="L49" s="45"/>
      <c r="N49" s="96"/>
      <c r="O49" s="97"/>
      <c r="P49" s="97"/>
      <c r="Q49" s="98"/>
      <c r="S49" s="54"/>
    </row>
    <row r="50" spans="1:19" ht="30" customHeight="1" x14ac:dyDescent="0.3">
      <c r="A50" s="59"/>
      <c r="B50" s="38"/>
      <c r="C50" s="42"/>
      <c r="D50" s="43"/>
      <c r="E50" s="86"/>
      <c r="F50" s="86"/>
      <c r="G50" s="86"/>
      <c r="H50" s="86"/>
      <c r="I50" s="86"/>
      <c r="J50" s="86"/>
      <c r="K50" s="86"/>
      <c r="L50" s="44"/>
      <c r="N50" s="96"/>
      <c r="O50" s="97"/>
      <c r="P50" s="97"/>
      <c r="Q50" s="98"/>
      <c r="S50" s="54"/>
    </row>
    <row r="51" spans="1:19" ht="30" customHeight="1" x14ac:dyDescent="0.3">
      <c r="A51" s="59"/>
      <c r="B51" s="38"/>
      <c r="C51" s="42"/>
      <c r="D51" s="43"/>
      <c r="E51" s="86"/>
      <c r="F51" s="86"/>
      <c r="G51" s="86"/>
      <c r="H51" s="86"/>
      <c r="I51" s="86"/>
      <c r="J51" s="86"/>
      <c r="K51" s="86"/>
      <c r="L51" s="45"/>
      <c r="N51" s="96"/>
      <c r="O51" s="97"/>
      <c r="P51" s="97"/>
      <c r="Q51" s="98"/>
      <c r="S51" s="54"/>
    </row>
    <row r="52" spans="1:19" ht="30" customHeight="1" x14ac:dyDescent="0.3">
      <c r="A52" s="59"/>
      <c r="B52" s="38"/>
      <c r="C52" s="42"/>
      <c r="D52" s="43"/>
      <c r="E52" s="86"/>
      <c r="F52" s="86"/>
      <c r="G52" s="86"/>
      <c r="H52" s="86"/>
      <c r="I52" s="86"/>
      <c r="J52" s="86"/>
      <c r="K52" s="86"/>
      <c r="L52" s="46"/>
      <c r="N52" s="96"/>
      <c r="O52" s="97"/>
      <c r="P52" s="97"/>
      <c r="Q52" s="98"/>
      <c r="S52" s="54"/>
    </row>
    <row r="53" spans="1:19" ht="30" customHeight="1" x14ac:dyDescent="0.3">
      <c r="A53" s="59"/>
      <c r="B53" s="38"/>
      <c r="C53" s="42"/>
      <c r="D53" s="43"/>
      <c r="E53" s="86"/>
      <c r="F53" s="86"/>
      <c r="G53" s="86"/>
      <c r="H53" s="86"/>
      <c r="I53" s="86"/>
      <c r="J53" s="86"/>
      <c r="K53" s="86"/>
      <c r="L53" s="46"/>
      <c r="N53" s="96"/>
      <c r="O53" s="97"/>
      <c r="P53" s="97"/>
      <c r="Q53" s="98"/>
      <c r="S53" s="54"/>
    </row>
    <row r="54" spans="1:19" ht="30" customHeight="1" thickBot="1" x14ac:dyDescent="0.35">
      <c r="A54" s="59"/>
      <c r="B54" s="38"/>
      <c r="C54" s="47"/>
      <c r="D54" s="48"/>
      <c r="E54" s="87"/>
      <c r="F54" s="87"/>
      <c r="G54" s="87"/>
      <c r="H54" s="87"/>
      <c r="I54" s="87"/>
      <c r="J54" s="87"/>
      <c r="K54" s="87"/>
      <c r="L54" s="49"/>
      <c r="N54" s="96"/>
      <c r="O54" s="97"/>
      <c r="P54" s="97"/>
      <c r="Q54" s="98"/>
      <c r="S54" s="54"/>
    </row>
    <row r="55" spans="1:19" ht="30" customHeight="1" thickTop="1" x14ac:dyDescent="0.3">
      <c r="A55" s="59"/>
      <c r="B55" s="38"/>
      <c r="C55" s="38"/>
      <c r="D55" s="63"/>
      <c r="E55" s="63"/>
      <c r="F55" s="63"/>
      <c r="G55" s="63"/>
      <c r="H55" s="63"/>
      <c r="I55" s="63"/>
      <c r="J55" s="63"/>
      <c r="K55" s="63"/>
      <c r="L55" s="63"/>
      <c r="N55" s="64"/>
      <c r="O55" s="64"/>
      <c r="P55" s="62"/>
      <c r="Q55" s="65"/>
      <c r="S55" s="54"/>
    </row>
    <row r="56" spans="1:19" ht="30" customHeight="1" thickBot="1" x14ac:dyDescent="0.45">
      <c r="A56" s="59"/>
      <c r="B56" s="38"/>
      <c r="C56" s="38"/>
      <c r="D56" s="84" t="s">
        <v>23</v>
      </c>
      <c r="E56" s="63"/>
      <c r="F56" s="63"/>
      <c r="G56" s="63"/>
      <c r="H56" s="63"/>
      <c r="I56" s="63"/>
      <c r="J56" s="63"/>
      <c r="K56" s="63"/>
      <c r="L56" s="63"/>
      <c r="N56" s="95" t="s">
        <v>23</v>
      </c>
      <c r="O56" s="95"/>
      <c r="P56" s="95"/>
      <c r="Q56" s="65"/>
      <c r="S56" s="54"/>
    </row>
    <row r="57" spans="1:19" ht="30" customHeight="1" thickTop="1" x14ac:dyDescent="0.3">
      <c r="A57" s="59"/>
      <c r="B57" s="38"/>
      <c r="C57" s="88" t="s">
        <v>20</v>
      </c>
      <c r="D57" s="89"/>
      <c r="E57" s="92" t="str">
        <f ca="1">TEXT(E8, "ddd dd/mm")</f>
        <v>Mon 16/02</v>
      </c>
      <c r="F57" s="92" t="str">
        <f t="shared" ref="F57:K57" ca="1" si="2">TEXT(F8, "ddd dd/mm")</f>
        <v>Tue 17/02</v>
      </c>
      <c r="G57" s="92" t="str">
        <f t="shared" ca="1" si="2"/>
        <v>Wed 18/02</v>
      </c>
      <c r="H57" s="92" t="str">
        <f t="shared" ca="1" si="2"/>
        <v>Thu 19/02</v>
      </c>
      <c r="I57" s="92" t="str">
        <f t="shared" ca="1" si="2"/>
        <v>Fri 20/02</v>
      </c>
      <c r="J57" s="92" t="str">
        <f t="shared" ca="1" si="2"/>
        <v>Sat 21/02</v>
      </c>
      <c r="K57" s="92" t="str">
        <f t="shared" ca="1" si="2"/>
        <v>Sun 22/02</v>
      </c>
      <c r="L57" s="39"/>
      <c r="N57" s="96"/>
      <c r="O57" s="97"/>
      <c r="P57" s="97"/>
      <c r="Q57" s="98"/>
      <c r="S57" s="54"/>
    </row>
    <row r="58" spans="1:19" ht="30" customHeight="1" x14ac:dyDescent="0.3">
      <c r="A58" s="59"/>
      <c r="B58" s="38"/>
      <c r="C58" s="90"/>
      <c r="D58" s="91"/>
      <c r="E58" s="93"/>
      <c r="F58" s="93"/>
      <c r="G58" s="93"/>
      <c r="H58" s="93"/>
      <c r="I58" s="93"/>
      <c r="J58" s="93"/>
      <c r="K58" s="93"/>
      <c r="L58" s="41"/>
      <c r="N58" s="96"/>
      <c r="O58" s="97"/>
      <c r="P58" s="97"/>
      <c r="Q58" s="98"/>
      <c r="S58" s="54"/>
    </row>
    <row r="59" spans="1:19" ht="30" customHeight="1" x14ac:dyDescent="0.3">
      <c r="A59" s="59"/>
      <c r="B59" s="38"/>
      <c r="C59" s="42"/>
      <c r="D59" s="43"/>
      <c r="E59" s="86"/>
      <c r="F59" s="86"/>
      <c r="G59" s="86"/>
      <c r="H59" s="86"/>
      <c r="I59" s="86"/>
      <c r="J59" s="86"/>
      <c r="K59" s="86"/>
      <c r="L59" s="66"/>
      <c r="N59" s="96"/>
      <c r="O59" s="97"/>
      <c r="P59" s="97"/>
      <c r="Q59" s="98"/>
      <c r="S59" s="54"/>
    </row>
    <row r="60" spans="1:19" ht="30" customHeight="1" x14ac:dyDescent="0.3">
      <c r="A60" s="59"/>
      <c r="B60" s="38"/>
      <c r="C60" s="42"/>
      <c r="D60" s="43"/>
      <c r="E60" s="86"/>
      <c r="F60" s="86"/>
      <c r="G60" s="86"/>
      <c r="H60" s="86"/>
      <c r="I60" s="86"/>
      <c r="J60" s="86"/>
      <c r="K60" s="86"/>
      <c r="L60" s="44"/>
      <c r="N60" s="96"/>
      <c r="O60" s="97"/>
      <c r="P60" s="97"/>
      <c r="Q60" s="98"/>
      <c r="S60" s="54"/>
    </row>
    <row r="61" spans="1:19" ht="30" customHeight="1" x14ac:dyDescent="0.3">
      <c r="A61" s="59"/>
      <c r="B61" s="38"/>
      <c r="C61" s="42"/>
      <c r="D61" s="43"/>
      <c r="E61" s="86"/>
      <c r="F61" s="86"/>
      <c r="G61" s="86"/>
      <c r="H61" s="86"/>
      <c r="I61" s="86"/>
      <c r="J61" s="86"/>
      <c r="K61" s="86"/>
      <c r="L61" s="45"/>
      <c r="N61" s="96"/>
      <c r="O61" s="97"/>
      <c r="P61" s="97"/>
      <c r="Q61" s="98"/>
      <c r="S61" s="54"/>
    </row>
    <row r="62" spans="1:19" ht="30" customHeight="1" x14ac:dyDescent="0.3">
      <c r="A62" s="59"/>
      <c r="B62" s="38"/>
      <c r="C62" s="42"/>
      <c r="D62" s="43"/>
      <c r="E62" s="86"/>
      <c r="F62" s="86"/>
      <c r="G62" s="86"/>
      <c r="H62" s="86"/>
      <c r="I62" s="86"/>
      <c r="J62" s="86"/>
      <c r="K62" s="86"/>
      <c r="L62" s="44"/>
      <c r="N62" s="96"/>
      <c r="O62" s="97"/>
      <c r="P62" s="97"/>
      <c r="Q62" s="98"/>
      <c r="S62" s="54"/>
    </row>
    <row r="63" spans="1:19" ht="30" customHeight="1" x14ac:dyDescent="0.3">
      <c r="A63" s="59"/>
      <c r="B63" s="38"/>
      <c r="C63" s="42"/>
      <c r="D63" s="43"/>
      <c r="E63" s="86"/>
      <c r="F63" s="86"/>
      <c r="G63" s="86"/>
      <c r="H63" s="86"/>
      <c r="I63" s="86"/>
      <c r="J63" s="86"/>
      <c r="K63" s="86"/>
      <c r="L63" s="45"/>
      <c r="N63" s="96"/>
      <c r="O63" s="97"/>
      <c r="P63" s="97"/>
      <c r="Q63" s="98"/>
      <c r="S63" s="54"/>
    </row>
    <row r="64" spans="1:19" ht="30" customHeight="1" x14ac:dyDescent="0.3">
      <c r="A64" s="59"/>
      <c r="B64" s="38"/>
      <c r="C64" s="42"/>
      <c r="D64" s="43"/>
      <c r="E64" s="86"/>
      <c r="F64" s="86"/>
      <c r="G64" s="86"/>
      <c r="H64" s="86"/>
      <c r="I64" s="86"/>
      <c r="J64" s="86"/>
      <c r="K64" s="86"/>
      <c r="L64" s="44"/>
      <c r="N64" s="96"/>
      <c r="O64" s="97"/>
      <c r="P64" s="97"/>
      <c r="Q64" s="98"/>
      <c r="S64" s="54"/>
    </row>
    <row r="65" spans="1:21" ht="30" customHeight="1" x14ac:dyDescent="0.3">
      <c r="A65" s="59"/>
      <c r="B65" s="38"/>
      <c r="C65" s="42"/>
      <c r="D65" s="43"/>
      <c r="E65" s="86"/>
      <c r="F65" s="86"/>
      <c r="G65" s="86"/>
      <c r="H65" s="86"/>
      <c r="I65" s="86"/>
      <c r="J65" s="86"/>
      <c r="K65" s="86"/>
      <c r="L65" s="45"/>
      <c r="N65" s="96"/>
      <c r="O65" s="97"/>
      <c r="P65" s="97"/>
      <c r="Q65" s="98"/>
      <c r="S65" s="54"/>
    </row>
    <row r="66" spans="1:21" ht="30" customHeight="1" x14ac:dyDescent="0.3">
      <c r="A66" s="59"/>
      <c r="B66" s="38"/>
      <c r="C66" s="42"/>
      <c r="D66" s="43"/>
      <c r="E66" s="86"/>
      <c r="F66" s="86"/>
      <c r="G66" s="86"/>
      <c r="H66" s="86"/>
      <c r="I66" s="86"/>
      <c r="J66" s="86"/>
      <c r="K66" s="86"/>
      <c r="L66" s="46"/>
      <c r="N66" s="96"/>
      <c r="O66" s="97"/>
      <c r="P66" s="97"/>
      <c r="Q66" s="98"/>
      <c r="S66" s="54"/>
    </row>
    <row r="67" spans="1:21" ht="30" customHeight="1" x14ac:dyDescent="0.3">
      <c r="A67" s="59"/>
      <c r="B67" s="38"/>
      <c r="C67" s="42"/>
      <c r="D67" s="43"/>
      <c r="E67" s="86"/>
      <c r="F67" s="86"/>
      <c r="G67" s="86"/>
      <c r="H67" s="86"/>
      <c r="I67" s="86"/>
      <c r="J67" s="86"/>
      <c r="K67" s="86"/>
      <c r="L67" s="46"/>
      <c r="N67" s="96"/>
      <c r="O67" s="97"/>
      <c r="P67" s="97"/>
      <c r="Q67" s="98"/>
      <c r="S67" s="54"/>
    </row>
    <row r="68" spans="1:21" ht="30" customHeight="1" thickBot="1" x14ac:dyDescent="0.35">
      <c r="A68" s="59"/>
      <c r="B68" s="38"/>
      <c r="C68" s="47"/>
      <c r="D68" s="48"/>
      <c r="E68" s="87"/>
      <c r="F68" s="87"/>
      <c r="G68" s="87"/>
      <c r="H68" s="87"/>
      <c r="I68" s="87"/>
      <c r="J68" s="87"/>
      <c r="K68" s="87"/>
      <c r="L68" s="49"/>
      <c r="N68" s="96"/>
      <c r="O68" s="97"/>
      <c r="P68" s="97"/>
      <c r="Q68" s="98"/>
      <c r="S68" s="54"/>
    </row>
    <row r="69" spans="1:21" ht="30" customHeight="1" thickTop="1" x14ac:dyDescent="0.3">
      <c r="A69" s="59"/>
      <c r="B69" s="38"/>
      <c r="C69" s="38"/>
      <c r="D69" s="63"/>
      <c r="E69" s="63"/>
      <c r="F69" s="63"/>
      <c r="G69" s="63"/>
      <c r="H69" s="63"/>
      <c r="I69" s="63"/>
      <c r="J69" s="63"/>
      <c r="K69" s="63"/>
      <c r="L69" s="63"/>
      <c r="N69" s="64"/>
      <c r="O69" s="64"/>
      <c r="P69" s="62"/>
      <c r="Q69" s="65"/>
      <c r="S69" s="54"/>
    </row>
    <row r="70" spans="1:21" ht="30" customHeight="1" thickBot="1" x14ac:dyDescent="0.45">
      <c r="A70" s="59"/>
      <c r="B70" s="38"/>
      <c r="C70" s="38"/>
      <c r="D70" s="84" t="s">
        <v>24</v>
      </c>
      <c r="E70" s="63"/>
      <c r="F70" s="63"/>
      <c r="G70" s="63"/>
      <c r="H70" s="63"/>
      <c r="I70" s="63"/>
      <c r="J70" s="63"/>
      <c r="K70" s="63"/>
      <c r="L70" s="63"/>
      <c r="N70" s="95" t="s">
        <v>24</v>
      </c>
      <c r="O70" s="95"/>
      <c r="P70" s="95"/>
      <c r="Q70" s="65"/>
      <c r="S70" s="54"/>
    </row>
    <row r="71" spans="1:21" ht="30" customHeight="1" thickTop="1" x14ac:dyDescent="0.3">
      <c r="A71" s="59"/>
      <c r="B71" s="38"/>
      <c r="C71" s="88" t="s">
        <v>20</v>
      </c>
      <c r="D71" s="89"/>
      <c r="E71" s="92" t="str">
        <f ca="1">TEXT(E9, "ddd dd/mm")</f>
        <v>Mon 23/02</v>
      </c>
      <c r="F71" s="92" t="str">
        <f t="shared" ref="F71:J71" ca="1" si="3">TEXT(F9, "ddd dd/mm")</f>
        <v>Tue 24/02</v>
      </c>
      <c r="G71" s="92" t="str">
        <f t="shared" ca="1" si="3"/>
        <v>Wed 25/02</v>
      </c>
      <c r="H71" s="92" t="str">
        <f t="shared" ca="1" si="3"/>
        <v>Thu 26/02</v>
      </c>
      <c r="I71" s="92" t="str">
        <f t="shared" ca="1" si="3"/>
        <v>Fri 27/02</v>
      </c>
      <c r="J71" s="92" t="str">
        <f t="shared" ca="1" si="3"/>
        <v>Sat 28/02</v>
      </c>
      <c r="K71" s="92"/>
      <c r="L71" s="39"/>
      <c r="N71" s="96"/>
      <c r="O71" s="97"/>
      <c r="P71" s="97"/>
      <c r="Q71" s="98"/>
      <c r="S71" s="54"/>
    </row>
    <row r="72" spans="1:21" ht="30" customHeight="1" x14ac:dyDescent="0.3">
      <c r="A72" s="59"/>
      <c r="B72" s="38"/>
      <c r="C72" s="90"/>
      <c r="D72" s="91"/>
      <c r="E72" s="93"/>
      <c r="F72" s="93"/>
      <c r="G72" s="93"/>
      <c r="H72" s="93"/>
      <c r="I72" s="93"/>
      <c r="J72" s="93"/>
      <c r="K72" s="93"/>
      <c r="L72" s="41"/>
      <c r="N72" s="96"/>
      <c r="O72" s="97"/>
      <c r="P72" s="97"/>
      <c r="Q72" s="98"/>
      <c r="R72" s="3"/>
      <c r="S72" s="54"/>
      <c r="T72" s="3"/>
      <c r="U72" s="3"/>
    </row>
    <row r="73" spans="1:21" ht="30" customHeight="1" x14ac:dyDescent="0.3">
      <c r="A73" s="59"/>
      <c r="B73" s="38"/>
      <c r="C73" s="42"/>
      <c r="D73" s="43"/>
      <c r="E73" s="86"/>
      <c r="F73" s="86"/>
      <c r="G73" s="86"/>
      <c r="H73" s="86"/>
      <c r="I73" s="86"/>
      <c r="J73" s="86"/>
      <c r="K73" s="86"/>
      <c r="L73" s="66"/>
      <c r="N73" s="96"/>
      <c r="O73" s="97"/>
      <c r="P73" s="97"/>
      <c r="Q73" s="98"/>
      <c r="S73" s="54"/>
    </row>
    <row r="74" spans="1:21" ht="30" customHeight="1" x14ac:dyDescent="0.3">
      <c r="A74" s="59"/>
      <c r="B74" s="38"/>
      <c r="C74" s="42"/>
      <c r="D74" s="43"/>
      <c r="E74" s="86"/>
      <c r="F74" s="86"/>
      <c r="G74" s="86"/>
      <c r="H74" s="86"/>
      <c r="I74" s="86"/>
      <c r="J74" s="86"/>
      <c r="K74" s="86"/>
      <c r="L74" s="44"/>
      <c r="N74" s="96"/>
      <c r="O74" s="97"/>
      <c r="P74" s="97"/>
      <c r="Q74" s="98"/>
      <c r="S74" s="54"/>
    </row>
    <row r="75" spans="1:21" ht="30" customHeight="1" x14ac:dyDescent="0.3">
      <c r="A75" s="59"/>
      <c r="B75" s="38"/>
      <c r="C75" s="42"/>
      <c r="D75" s="43"/>
      <c r="E75" s="86"/>
      <c r="F75" s="86"/>
      <c r="G75" s="86"/>
      <c r="H75" s="86"/>
      <c r="I75" s="86"/>
      <c r="J75" s="86"/>
      <c r="K75" s="86"/>
      <c r="L75" s="45"/>
      <c r="N75" s="96"/>
      <c r="O75" s="97"/>
      <c r="P75" s="97"/>
      <c r="Q75" s="98"/>
      <c r="S75" s="54"/>
    </row>
    <row r="76" spans="1:21" ht="30" customHeight="1" x14ac:dyDescent="0.3">
      <c r="A76" s="59"/>
      <c r="B76" s="38"/>
      <c r="C76" s="42"/>
      <c r="D76" s="43"/>
      <c r="E76" s="86"/>
      <c r="F76" s="86"/>
      <c r="G76" s="86"/>
      <c r="H76" s="86"/>
      <c r="I76" s="86"/>
      <c r="J76" s="86"/>
      <c r="K76" s="86"/>
      <c r="L76" s="44"/>
      <c r="N76" s="96"/>
      <c r="O76" s="97"/>
      <c r="P76" s="97"/>
      <c r="Q76" s="98"/>
      <c r="S76" s="54"/>
    </row>
    <row r="77" spans="1:21" ht="30" customHeight="1" x14ac:dyDescent="0.3">
      <c r="A77" s="59"/>
      <c r="B77" s="38"/>
      <c r="C77" s="42"/>
      <c r="D77" s="43"/>
      <c r="E77" s="86"/>
      <c r="F77" s="86"/>
      <c r="G77" s="86"/>
      <c r="H77" s="86"/>
      <c r="I77" s="86"/>
      <c r="J77" s="86"/>
      <c r="K77" s="86"/>
      <c r="L77" s="45"/>
      <c r="N77" s="96"/>
      <c r="O77" s="97"/>
      <c r="P77" s="97"/>
      <c r="Q77" s="98"/>
      <c r="S77" s="54"/>
    </row>
    <row r="78" spans="1:21" ht="30" customHeight="1" x14ac:dyDescent="0.3">
      <c r="A78" s="59"/>
      <c r="B78" s="38"/>
      <c r="C78" s="42"/>
      <c r="D78" s="43"/>
      <c r="E78" s="86"/>
      <c r="F78" s="86"/>
      <c r="G78" s="86"/>
      <c r="H78" s="86"/>
      <c r="I78" s="86"/>
      <c r="J78" s="86"/>
      <c r="K78" s="86"/>
      <c r="L78" s="44"/>
      <c r="N78" s="96"/>
      <c r="O78" s="97"/>
      <c r="P78" s="97"/>
      <c r="Q78" s="98"/>
      <c r="S78" s="54"/>
    </row>
    <row r="79" spans="1:21" ht="30" customHeight="1" x14ac:dyDescent="0.3">
      <c r="A79" s="59"/>
      <c r="B79" s="38"/>
      <c r="C79" s="42"/>
      <c r="D79" s="43"/>
      <c r="E79" s="86"/>
      <c r="F79" s="86"/>
      <c r="G79" s="86"/>
      <c r="H79" s="86"/>
      <c r="I79" s="86"/>
      <c r="J79" s="86"/>
      <c r="K79" s="86"/>
      <c r="L79" s="45"/>
      <c r="N79" s="96"/>
      <c r="O79" s="97"/>
      <c r="P79" s="97"/>
      <c r="Q79" s="98"/>
      <c r="S79" s="54"/>
    </row>
    <row r="80" spans="1:21" ht="30" customHeight="1" x14ac:dyDescent="0.3">
      <c r="A80" s="59"/>
      <c r="B80" s="38"/>
      <c r="C80" s="42"/>
      <c r="D80" s="43"/>
      <c r="E80" s="86"/>
      <c r="F80" s="86"/>
      <c r="G80" s="86"/>
      <c r="H80" s="86"/>
      <c r="I80" s="86"/>
      <c r="J80" s="86"/>
      <c r="K80" s="86"/>
      <c r="L80" s="46"/>
      <c r="N80" s="96"/>
      <c r="O80" s="97"/>
      <c r="P80" s="97"/>
      <c r="Q80" s="98"/>
      <c r="S80" s="54"/>
    </row>
    <row r="81" spans="1:19" ht="30" customHeight="1" x14ac:dyDescent="0.3">
      <c r="A81" s="59"/>
      <c r="B81" s="38"/>
      <c r="C81" s="42"/>
      <c r="D81" s="43"/>
      <c r="E81" s="86"/>
      <c r="F81" s="86"/>
      <c r="G81" s="86"/>
      <c r="H81" s="86"/>
      <c r="I81" s="86"/>
      <c r="J81" s="86"/>
      <c r="K81" s="86"/>
      <c r="L81" s="46"/>
      <c r="N81" s="96"/>
      <c r="O81" s="97"/>
      <c r="P81" s="97"/>
      <c r="Q81" s="98"/>
      <c r="S81" s="54"/>
    </row>
    <row r="82" spans="1:19" ht="30" customHeight="1" thickBot="1" x14ac:dyDescent="0.35">
      <c r="A82" s="59"/>
      <c r="B82" s="38"/>
      <c r="C82" s="47"/>
      <c r="D82" s="48"/>
      <c r="E82" s="87"/>
      <c r="F82" s="87"/>
      <c r="G82" s="87"/>
      <c r="H82" s="87"/>
      <c r="I82" s="87"/>
      <c r="J82" s="87"/>
      <c r="K82" s="87"/>
      <c r="L82" s="49"/>
      <c r="N82" s="96"/>
      <c r="O82" s="97"/>
      <c r="P82" s="97"/>
      <c r="Q82" s="98"/>
      <c r="S82" s="54"/>
    </row>
    <row r="83" spans="1:19" ht="30" customHeight="1" thickTop="1" x14ac:dyDescent="0.3">
      <c r="A83" s="59"/>
      <c r="B83" s="38"/>
      <c r="C83" s="38"/>
      <c r="D83" s="63"/>
      <c r="E83" s="63"/>
      <c r="F83" s="63"/>
      <c r="G83" s="63"/>
      <c r="H83" s="63"/>
      <c r="I83" s="63"/>
      <c r="J83" s="63"/>
      <c r="K83" s="63"/>
      <c r="L83" s="63"/>
      <c r="N83" s="64"/>
      <c r="O83" s="64"/>
      <c r="P83" s="62"/>
      <c r="Q83" s="65"/>
      <c r="S83" s="54"/>
    </row>
    <row r="84" spans="1:19" ht="30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6"/>
      <c r="O84" s="56"/>
      <c r="P84" s="54"/>
      <c r="Q84" s="57"/>
      <c r="R84" s="54"/>
      <c r="S84" s="54"/>
    </row>
  </sheetData>
  <sheetProtection sheet="1" objects="1" scenarios="1" selectLockedCells="1"/>
  <dataConsolidate/>
  <mergeCells count="106">
    <mergeCell ref="C29:D30"/>
    <mergeCell ref="C15:D16"/>
    <mergeCell ref="N80:Q80"/>
    <mergeCell ref="N81:Q81"/>
    <mergeCell ref="N82:Q82"/>
    <mergeCell ref="C71:D72"/>
    <mergeCell ref="C57:D58"/>
    <mergeCell ref="C43:D44"/>
    <mergeCell ref="N74:Q74"/>
    <mergeCell ref="N75:Q75"/>
    <mergeCell ref="N76:Q76"/>
    <mergeCell ref="N77:Q77"/>
    <mergeCell ref="N78:Q78"/>
    <mergeCell ref="N79:Q79"/>
    <mergeCell ref="N66:Q66"/>
    <mergeCell ref="N67:Q67"/>
    <mergeCell ref="N68:Q68"/>
    <mergeCell ref="N71:Q71"/>
    <mergeCell ref="N72:Q72"/>
    <mergeCell ref="N73:Q73"/>
    <mergeCell ref="N60:Q60"/>
    <mergeCell ref="N61:Q61"/>
    <mergeCell ref="N62:Q62"/>
    <mergeCell ref="N63:Q63"/>
    <mergeCell ref="N45:Q45"/>
    <mergeCell ref="N32:Q32"/>
    <mergeCell ref="N33:Q33"/>
    <mergeCell ref="N34:Q34"/>
    <mergeCell ref="N35:Q35"/>
    <mergeCell ref="N36:Q36"/>
    <mergeCell ref="N37:Q37"/>
    <mergeCell ref="N42:P42"/>
    <mergeCell ref="N64:Q64"/>
    <mergeCell ref="N52:Q52"/>
    <mergeCell ref="N53:Q53"/>
    <mergeCell ref="N54:Q54"/>
    <mergeCell ref="N57:Q57"/>
    <mergeCell ref="N58:Q58"/>
    <mergeCell ref="N59:Q59"/>
    <mergeCell ref="N46:Q46"/>
    <mergeCell ref="N47:Q47"/>
    <mergeCell ref="N48:Q48"/>
    <mergeCell ref="N49:Q49"/>
    <mergeCell ref="N50:Q50"/>
    <mergeCell ref="N51:Q51"/>
    <mergeCell ref="N24:Q24"/>
    <mergeCell ref="N25:Q25"/>
    <mergeCell ref="N26:Q26"/>
    <mergeCell ref="N29:Q29"/>
    <mergeCell ref="N30:Q30"/>
    <mergeCell ref="N31:Q31"/>
    <mergeCell ref="N15:Q15"/>
    <mergeCell ref="N16:Q16"/>
    <mergeCell ref="N17:Q17"/>
    <mergeCell ref="N18:Q18"/>
    <mergeCell ref="N20:Q20"/>
    <mergeCell ref="N21:Q21"/>
    <mergeCell ref="N22:Q22"/>
    <mergeCell ref="N23:Q23"/>
    <mergeCell ref="N19:Q19"/>
    <mergeCell ref="N70:P70"/>
    <mergeCell ref="E71:E72"/>
    <mergeCell ref="F71:F72"/>
    <mergeCell ref="G71:G72"/>
    <mergeCell ref="H71:H72"/>
    <mergeCell ref="I71:I72"/>
    <mergeCell ref="J71:J72"/>
    <mergeCell ref="K71:K72"/>
    <mergeCell ref="N56:P56"/>
    <mergeCell ref="E57:E58"/>
    <mergeCell ref="F57:F58"/>
    <mergeCell ref="G57:G58"/>
    <mergeCell ref="H57:H58"/>
    <mergeCell ref="I57:I58"/>
    <mergeCell ref="J57:J58"/>
    <mergeCell ref="K57:K58"/>
    <mergeCell ref="N65:Q65"/>
    <mergeCell ref="E43:E44"/>
    <mergeCell ref="F43:F44"/>
    <mergeCell ref="G43:G44"/>
    <mergeCell ref="H43:H44"/>
    <mergeCell ref="I43:I44"/>
    <mergeCell ref="J43:J44"/>
    <mergeCell ref="K43:K44"/>
    <mergeCell ref="N28:P28"/>
    <mergeCell ref="E29:E30"/>
    <mergeCell ref="F29:F30"/>
    <mergeCell ref="G29:G30"/>
    <mergeCell ref="H29:H30"/>
    <mergeCell ref="I29:I30"/>
    <mergeCell ref="J29:J30"/>
    <mergeCell ref="K29:K30"/>
    <mergeCell ref="N38:Q38"/>
    <mergeCell ref="N39:Q39"/>
    <mergeCell ref="N40:Q40"/>
    <mergeCell ref="N43:Q43"/>
    <mergeCell ref="N44:Q44"/>
    <mergeCell ref="D5:D6"/>
    <mergeCell ref="N14:P14"/>
    <mergeCell ref="E15:E16"/>
    <mergeCell ref="F15:F16"/>
    <mergeCell ref="G15:G16"/>
    <mergeCell ref="H15:H16"/>
    <mergeCell ref="I15:I16"/>
    <mergeCell ref="J15:J16"/>
    <mergeCell ref="K15:K16"/>
  </mergeCells>
  <conditionalFormatting sqref="D17:K25">
    <cfRule type="expression" dxfId="221" priority="1">
      <formula>D17&lt;&gt;""</formula>
    </cfRule>
  </conditionalFormatting>
  <conditionalFormatting sqref="D26:K27">
    <cfRule type="expression" dxfId="220" priority="7">
      <formula>COLUMN(#REF!)&gt;2</formula>
    </cfRule>
  </conditionalFormatting>
  <conditionalFormatting sqref="D31:K39">
    <cfRule type="expression" dxfId="219" priority="2">
      <formula>D31&lt;&gt;""</formula>
    </cfRule>
  </conditionalFormatting>
  <conditionalFormatting sqref="D40:K41">
    <cfRule type="expression" dxfId="218" priority="9">
      <formula>COLUMN(#REF!)&gt;2</formula>
    </cfRule>
  </conditionalFormatting>
  <conditionalFormatting sqref="D45:K53">
    <cfRule type="expression" dxfId="217" priority="3">
      <formula>D45&lt;&gt;""</formula>
    </cfRule>
  </conditionalFormatting>
  <conditionalFormatting sqref="D54:K55">
    <cfRule type="expression" dxfId="216" priority="11">
      <formula>COLUMN(#REF!)&gt;2</formula>
    </cfRule>
  </conditionalFormatting>
  <conditionalFormatting sqref="D59:K67">
    <cfRule type="expression" dxfId="215" priority="4">
      <formula>D59&lt;&gt;""</formula>
    </cfRule>
  </conditionalFormatting>
  <conditionalFormatting sqref="D68:K69">
    <cfRule type="expression" dxfId="214" priority="13">
      <formula>COLUMN(#REF!)&gt;2</formula>
    </cfRule>
  </conditionalFormatting>
  <conditionalFormatting sqref="D73:K81">
    <cfRule type="expression" dxfId="213" priority="5">
      <formula>D73&lt;&gt;""</formula>
    </cfRule>
  </conditionalFormatting>
  <conditionalFormatting sqref="D82:K83">
    <cfRule type="expression" dxfId="212" priority="15">
      <formula>COLUMN(#REF!)&gt;2</formula>
    </cfRule>
  </conditionalFormatting>
  <conditionalFormatting sqref="E5:J5">
    <cfRule type="expression" dxfId="211" priority="17" stopIfTrue="1">
      <formula>DAY(E5)&gt;8</formula>
    </cfRule>
  </conditionalFormatting>
  <conditionalFormatting sqref="E5:K10">
    <cfRule type="expression" dxfId="210" priority="18">
      <formula>AND(E5&gt;=TODAY()-WEEKDAY(TODAY(),2)+1,      E5&lt;=TODAY()-WEEKDAY(TODAY(),2)+7)</formula>
    </cfRule>
    <cfRule type="expression" dxfId="209" priority="19">
      <formula>VLOOKUP(DAY(E5),#REF!,1,FALSE)=DAY(E5)</formula>
    </cfRule>
  </conditionalFormatting>
  <conditionalFormatting sqref="E9:K10">
    <cfRule type="expression" dxfId="208" priority="16" stopIfTrue="1">
      <formula>AND(DAY(E9)&gt;=1,DAY(E9)&lt;=15)</formula>
    </cfRule>
  </conditionalFormatting>
  <conditionalFormatting sqref="E56:K56 E70:K70">
    <cfRule type="expression" dxfId="207" priority="38">
      <formula>COLUMN(#REF!)&gt;2</formula>
    </cfRule>
  </conditionalFormatting>
  <conditionalFormatting sqref="M6:M11">
    <cfRule type="expression" dxfId="206" priority="37">
      <formula>VLOOKUP(DAY(M6),AssignmentDays,1,FALSE)=DAY(M6)</formula>
    </cfRule>
  </conditionalFormatting>
  <conditionalFormatting sqref="M10:M11">
    <cfRule type="expression" dxfId="205" priority="36" stopIfTrue="1">
      <formula>AND(DAY(M10)&gt;=1,DAY(M10)&lt;=15)</formula>
    </cfRule>
  </conditionalFormatting>
  <conditionalFormatting sqref="R72 T72:U72">
    <cfRule type="expression" dxfId="204" priority="26" stopIfTrue="1">
      <formula>AND(DAY(R72)&gt;=1,DAY(R72)&lt;=15)</formula>
    </cfRule>
    <cfRule type="expression" dxfId="203" priority="35">
      <formula>VLOOKUP(DAY(R72),$O:$O,1,FALSE)=DAY(R72)</formula>
    </cfRule>
  </conditionalFormatting>
  <dataValidations count="10">
    <dataValidation allowBlank="1" showInputMessage="1" showErrorMessage="1" prompt="If this row contains a number less than the previous number or row of numbers, then this row contains dates for the next calendar month" sqref="E10" xr:uid="{633F1F89-6F58-4EFD-9947-1732388AACBD}"/>
    <dataValidation allowBlank="1" showInputMessage="1" showErrorMessage="1" prompt="Weekdays are in this row, from Monday to Friday" sqref="C29 C71 C43 C57 E29:K29 E15:K15 C15" xr:uid="{52F47B71-26DF-4C7D-AD66-0C82611F0EA1}"/>
    <dataValidation allowBlank="1" showInputMessage="1" showErrorMessage="1" prompt="Day of the week goes in this row, starting in cell D16" sqref="A29 A15" xr:uid="{899D9AD2-7B7B-4DFC-8D8C-16EFFB51970B}"/>
    <dataValidation allowBlank="1" showInputMessage="1" showErrorMessage="1" prompt="Calendar year is automatically updated in this cell. To change the calendar year, to go cell D5 in Jan worksheet." sqref="D5:D6" xr:uid="{A52992E9-A44D-428A-A927-46B902E1A10D}"/>
    <dataValidation allowBlank="1" showInputMessage="1" showErrorMessage="1" prompt="Calendar automatically highlights assignment list entries for the month. Darker fonts are assignments. Lighter fonts are days that belong to the previous or next month" sqref="D4" xr:uid="{CE8A39EC-44A2-4278-BFF2-B52880C3DB63}"/>
    <dataValidation allowBlank="1" showInputMessage="1" showErrorMessage="1" prompt="Enter the assignment details in this column that correspond to the weekday in column N and day in column O for the calendar month at left" sqref="N4" xr:uid="{50B76ACC-6F0A-4261-BC8F-9CC7ED555B7F}"/>
    <dataValidation allowBlank="1" showInputMessage="1" showErrorMessage="1" prompt="If this cell doesn’t contain the number 1, then it is a day from a previous month. Cells E5:K10 contain dates for the current month" sqref="E5" xr:uid="{500FB44F-D054-4B31-8DB8-EF9032486F2D}"/>
    <dataValidation allowBlank="1" showInputMessage="1" showErrorMessage="1" prompt="Cells E4:K4 contain weekdays" sqref="E4" xr:uid="{43392826-761A-4863-9948-208A97B9C094}"/>
    <dataValidation allowBlank="1" showInputMessage="1" showErrorMessage="1" prompt="March calendar. Calendar year is automatically updated based on cell D5 in Jan sheet." sqref="A1" xr:uid="{ACA2021F-5515-4C17-93CC-830449D41CC1}"/>
    <dataValidation allowBlank="1" showInputMessage="1" showErrorMessage="1" prompt="Enter the time of your class and under it, in a new row, the class name for each weekday in columns D to K. Repeat this pattern for all classes in subsequent rows" sqref="D13" xr:uid="{32BB2222-1931-417D-9BF7-F757F044129F}"/>
  </dataValidations>
  <printOptions horizontalCentered="1" verticalCentered="1"/>
  <pageMargins left="0.25" right="0.25" top="0.5" bottom="0.5" header="0.3" footer="0.3"/>
  <pageSetup scale="21" orientation="landscape" r:id="rId1"/>
  <rowBreaks count="1" manualBreakCount="1">
    <brk id="1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C0F1-8F02-49E6-BE6D-ED1E28784B02}">
  <sheetPr>
    <tabColor theme="6" tint="0.39997558519241921"/>
    <pageSetUpPr fitToPage="1"/>
  </sheetPr>
  <dimension ref="A1:U98"/>
  <sheetViews>
    <sheetView showGridLines="0" zoomScale="59" zoomScaleNormal="100" zoomScalePageLayoutView="84" workbookViewId="0">
      <selection activeCell="G91" sqref="G91"/>
    </sheetView>
  </sheetViews>
  <sheetFormatPr defaultColWidth="8.59765625" defaultRowHeight="30" customHeight="1" x14ac:dyDescent="0.25"/>
  <cols>
    <col min="1" max="2" width="5.59765625" customWidth="1"/>
    <col min="3" max="3" width="2.59765625" customWidth="1"/>
    <col min="4" max="4" width="19.5" customWidth="1"/>
    <col min="5" max="11" width="24.59765625" customWidth="1"/>
    <col min="12" max="12" width="2.59765625" customWidth="1"/>
    <col min="13" max="13" width="5.59765625" style="11" customWidth="1"/>
    <col min="14" max="14" width="12.59765625" style="50" customWidth="1"/>
    <col min="15" max="15" width="5.59765625" style="50" customWidth="1"/>
    <col min="16" max="16" width="2.59765625" customWidth="1"/>
    <col min="17" max="17" width="70.59765625" style="12" customWidth="1"/>
    <col min="18" max="19" width="5.59765625" customWidth="1"/>
  </cols>
  <sheetData>
    <row r="1" spans="1:19" ht="30" customHeight="1" x14ac:dyDescent="0.25">
      <c r="A1" s="54"/>
      <c r="B1" s="54"/>
      <c r="C1" s="54"/>
      <c r="D1" s="55"/>
      <c r="E1" s="54"/>
      <c r="F1" s="54"/>
      <c r="G1" s="54"/>
      <c r="H1" s="54"/>
      <c r="I1" s="54"/>
      <c r="J1" s="54"/>
      <c r="K1" s="54"/>
      <c r="L1" s="54"/>
      <c r="M1" s="60"/>
      <c r="N1" s="56"/>
      <c r="O1" s="56"/>
      <c r="P1" s="54"/>
      <c r="Q1" s="57"/>
      <c r="R1" s="54"/>
      <c r="S1" s="54"/>
    </row>
    <row r="2" spans="1:19" ht="30" customHeight="1" thickBot="1" x14ac:dyDescent="0.3">
      <c r="A2" s="54"/>
      <c r="D2" s="10"/>
      <c r="E2" s="10"/>
      <c r="F2" s="10"/>
      <c r="G2" s="10"/>
      <c r="H2" s="10"/>
      <c r="I2" s="10"/>
      <c r="J2" s="10"/>
      <c r="K2" s="10"/>
      <c r="N2"/>
      <c r="O2"/>
      <c r="S2" s="54"/>
    </row>
    <row r="3" spans="1:19" ht="30" customHeight="1" thickTop="1" x14ac:dyDescent="0.3">
      <c r="A3" s="54"/>
      <c r="C3" s="14"/>
      <c r="D3" s="15"/>
      <c r="E3" s="15"/>
      <c r="F3" s="15"/>
      <c r="G3" s="15"/>
      <c r="H3" s="15"/>
      <c r="I3" s="15"/>
      <c r="J3" s="15"/>
      <c r="K3" s="15"/>
      <c r="L3" s="16"/>
      <c r="N3" s="68"/>
      <c r="O3" s="64"/>
      <c r="P3" s="69"/>
      <c r="Q3" s="70"/>
      <c r="S3" s="54"/>
    </row>
    <row r="4" spans="1:19" ht="35.1" customHeight="1" x14ac:dyDescent="0.25">
      <c r="A4" s="54"/>
      <c r="C4" s="17"/>
      <c r="D4" s="1" t="s">
        <v>10</v>
      </c>
      <c r="E4" s="18" t="s">
        <v>1</v>
      </c>
      <c r="F4" s="18" t="s">
        <v>2</v>
      </c>
      <c r="G4" s="18" t="s">
        <v>3</v>
      </c>
      <c r="H4" s="18" t="s">
        <v>4</v>
      </c>
      <c r="I4" s="18" t="s">
        <v>5</v>
      </c>
      <c r="J4" s="18" t="s">
        <v>6</v>
      </c>
      <c r="K4" s="18" t="s">
        <v>7</v>
      </c>
      <c r="L4" s="19"/>
      <c r="N4" s="71"/>
      <c r="O4" s="69"/>
      <c r="P4" s="69"/>
      <c r="Q4" s="72"/>
      <c r="S4" s="54"/>
    </row>
    <row r="5" spans="1:19" ht="30" customHeight="1" x14ac:dyDescent="0.3">
      <c r="A5" s="58"/>
      <c r="B5" s="21"/>
      <c r="C5" s="22"/>
      <c r="D5" s="94">
        <f ca="1">CalendarYear</f>
        <v>2026</v>
      </c>
      <c r="E5" s="3">
        <f ca="1">IF(DAY(MarSun1)=1,MarSun1-6,MarSun1+1)</f>
        <v>46076</v>
      </c>
      <c r="F5" s="3">
        <f ca="1">IF(DAY(MarSun1)=1,MarSun1-5,MarSun1+2)</f>
        <v>46077</v>
      </c>
      <c r="G5" s="3">
        <f ca="1">IF(DAY(MarSun1)=1,MarSun1-4,MarSun1+3)</f>
        <v>46078</v>
      </c>
      <c r="H5" s="3">
        <f ca="1">IF(DAY(MarSun1)=1,MarSun1-3,MarSun1+4)</f>
        <v>46079</v>
      </c>
      <c r="I5" s="3">
        <f ca="1">IF(DAY(MarSun1)=1,MarSun1-2,MarSun1+5)</f>
        <v>46080</v>
      </c>
      <c r="J5" s="3">
        <f ca="1">IF(DAY(MarSun1)=1,MarSun1-1,MarSun1+6)</f>
        <v>46081</v>
      </c>
      <c r="K5" s="3">
        <f ca="1">IF(DAY(MarSun1)=1,MarSun1,MarSun1+7)</f>
        <v>46082</v>
      </c>
      <c r="L5" s="24"/>
      <c r="M5" s="25"/>
      <c r="N5" s="68"/>
      <c r="O5" s="69"/>
      <c r="P5" s="69"/>
      <c r="Q5" s="70"/>
      <c r="S5" s="54"/>
    </row>
    <row r="6" spans="1:19" ht="30" customHeight="1" x14ac:dyDescent="0.3">
      <c r="A6" s="58"/>
      <c r="B6" s="21"/>
      <c r="C6" s="22"/>
      <c r="D6" s="94"/>
      <c r="E6" s="3">
        <f ca="1">IF(DAY(MarSun1)=1,MarSun1+1,MarSun1+8)</f>
        <v>46083</v>
      </c>
      <c r="F6" s="3">
        <f ca="1">IF(DAY(MarSun1)=1,MarSun1+2,MarSun1+9)</f>
        <v>46084</v>
      </c>
      <c r="G6" s="3">
        <f ca="1">IF(DAY(MarSun1)=1,MarSun1+3,MarSun1+10)</f>
        <v>46085</v>
      </c>
      <c r="H6" s="3">
        <f ca="1">IF(DAY(MarSun1)=1,MarSun1+4,MarSun1+11)</f>
        <v>46086</v>
      </c>
      <c r="I6" s="3">
        <f ca="1">IF(DAY(MarSun1)=1,MarSun1+5,MarSun1+12)</f>
        <v>46087</v>
      </c>
      <c r="J6" s="3">
        <f ca="1">IF(DAY(MarSun1)=1,MarSun1+6,MarSun1+13)</f>
        <v>46088</v>
      </c>
      <c r="K6" s="3">
        <f ca="1">IF(DAY(MarSun1)=1,MarSun1+7,MarSun1+14)</f>
        <v>46089</v>
      </c>
      <c r="L6" s="24"/>
      <c r="M6" s="26"/>
      <c r="N6" s="73"/>
      <c r="O6" s="74"/>
      <c r="P6" s="74"/>
      <c r="Q6" s="70"/>
      <c r="S6" s="54"/>
    </row>
    <row r="7" spans="1:19" ht="30" customHeight="1" x14ac:dyDescent="0.25">
      <c r="A7" s="58"/>
      <c r="B7" s="21"/>
      <c r="C7" s="22"/>
      <c r="D7" s="27"/>
      <c r="E7" s="3">
        <f ca="1">IF(DAY(MarSun1)=1,MarSun1+8,MarSun1+15)</f>
        <v>46090</v>
      </c>
      <c r="F7" s="3">
        <f ca="1">IF(DAY(MarSun1)=1,MarSun1+9,MarSun1+16)</f>
        <v>46091</v>
      </c>
      <c r="G7" s="3">
        <f ca="1">IF(DAY(MarSun1)=1,MarSun1+10,MarSun1+17)</f>
        <v>46092</v>
      </c>
      <c r="H7" s="3">
        <f ca="1">IF(DAY(MarSun1)=1,MarSun1+11,MarSun1+18)</f>
        <v>46093</v>
      </c>
      <c r="I7" s="3">
        <f ca="1">IF(DAY(MarSun1)=1,MarSun1+12,MarSun1+19)</f>
        <v>46094</v>
      </c>
      <c r="J7" s="3">
        <f ca="1">IF(DAY(MarSun1)=1,MarSun1+13,MarSun1+20)</f>
        <v>46095</v>
      </c>
      <c r="K7" s="3">
        <f ca="1">IF(DAY(MarSun1)=1,MarSun1+14,MarSun1+21)</f>
        <v>46096</v>
      </c>
      <c r="L7" s="24"/>
      <c r="M7" s="26"/>
      <c r="N7" s="75"/>
      <c r="O7" s="76"/>
      <c r="P7" s="76"/>
      <c r="Q7" s="70"/>
      <c r="S7" s="54"/>
    </row>
    <row r="8" spans="1:19" ht="30" customHeight="1" x14ac:dyDescent="0.3">
      <c r="A8" s="58"/>
      <c r="B8" s="21"/>
      <c r="C8" s="22"/>
      <c r="D8" s="27"/>
      <c r="E8" s="3">
        <f ca="1">IF(DAY(MarSun1)=1,MarSun1+15,MarSun1+22)</f>
        <v>46097</v>
      </c>
      <c r="F8" s="3">
        <f ca="1">IF(DAY(MarSun1)=1,MarSun1+16,MarSun1+23)</f>
        <v>46098</v>
      </c>
      <c r="G8" s="3">
        <f ca="1">IF(DAY(MarSun1)=1,MarSun1+17,MarSun1+24)</f>
        <v>46099</v>
      </c>
      <c r="H8" s="3">
        <f ca="1">IF(DAY(MarSun1)=1,MarSun1+18,MarSun1+25)</f>
        <v>46100</v>
      </c>
      <c r="I8" s="3">
        <f ca="1">IF(DAY(MarSun1)=1,MarSun1+19,MarSun1+26)</f>
        <v>46101</v>
      </c>
      <c r="J8" s="3">
        <f ca="1">IF(DAY(MarSun1)=1,MarSun1+20,MarSun1+27)</f>
        <v>46102</v>
      </c>
      <c r="K8" s="3">
        <f ca="1">IF(DAY(MarSun1)=1,MarSun1+21,MarSun1+28)</f>
        <v>46103</v>
      </c>
      <c r="L8" s="24"/>
      <c r="M8" s="26"/>
      <c r="N8" s="77"/>
      <c r="O8" s="62"/>
      <c r="P8" s="62"/>
      <c r="Q8" s="70"/>
      <c r="S8" s="54"/>
    </row>
    <row r="9" spans="1:19" ht="30" customHeight="1" x14ac:dyDescent="0.3">
      <c r="A9" s="58"/>
      <c r="B9" s="21"/>
      <c r="C9" s="22"/>
      <c r="D9" s="27"/>
      <c r="E9" s="3">
        <f ca="1">IF(DAY(MarSun1)=1,MarSun1+22,MarSun1+29)</f>
        <v>46104</v>
      </c>
      <c r="F9" s="3">
        <f ca="1">IF(DAY(MarSun1)=1,MarSun1+23,MarSun1+30)</f>
        <v>46105</v>
      </c>
      <c r="G9" s="3">
        <f ca="1">IF(DAY(MarSun1)=1,MarSun1+24,MarSun1+31)</f>
        <v>46106</v>
      </c>
      <c r="H9" s="3">
        <f ca="1">IF(DAY(MarSun1)=1,MarSun1+25,MarSun1+32)</f>
        <v>46107</v>
      </c>
      <c r="I9" s="3">
        <f ca="1">IF(DAY(MarSun1)=1,MarSun1+26,MarSun1+33)</f>
        <v>46108</v>
      </c>
      <c r="J9" s="3">
        <f ca="1">IF(DAY(MarSun1)=1,MarSun1+27,MarSun1+34)</f>
        <v>46109</v>
      </c>
      <c r="K9" s="3">
        <f ca="1">IF(DAY(MarSun1)=1,MarSun1+28,MarSun1+35)</f>
        <v>46110</v>
      </c>
      <c r="L9" s="24"/>
      <c r="M9" s="26"/>
      <c r="N9" s="77"/>
      <c r="O9" s="62"/>
      <c r="P9" s="62"/>
      <c r="Q9" s="70"/>
      <c r="S9" s="54"/>
    </row>
    <row r="10" spans="1:19" ht="30" customHeight="1" x14ac:dyDescent="0.3">
      <c r="A10" s="58"/>
      <c r="B10" s="21"/>
      <c r="C10" s="22"/>
      <c r="D10" s="27"/>
      <c r="E10" s="3">
        <f ca="1">IF(DAY(MarSun1)=1,MarSun1+29,MarSun1+36)</f>
        <v>46111</v>
      </c>
      <c r="F10" s="3">
        <f ca="1">IF(DAY(MarSun1)=1,MarSun1+30,MarSun1+37)</f>
        <v>46112</v>
      </c>
      <c r="G10" s="3">
        <f ca="1">IF(DAY(MarSun1)=1,MarSun1+31,MarSun1+38)</f>
        <v>46113</v>
      </c>
      <c r="H10" s="3">
        <f ca="1">IF(DAY(MarSun1)=1,MarSun1+32,MarSun1+39)</f>
        <v>46114</v>
      </c>
      <c r="I10" s="3">
        <f ca="1">IF(DAY(MarSun1)=1,MarSun1+33,MarSun1+40)</f>
        <v>46115</v>
      </c>
      <c r="J10" s="3">
        <f ca="1">IF(DAY(MarSun1)=1,MarSun1+34,MarSun1+41)</f>
        <v>46116</v>
      </c>
      <c r="K10" s="3">
        <f ca="1">IF(DAY(MarSun1)=1,MarSun1+35,MarSun1+42)</f>
        <v>46117</v>
      </c>
      <c r="L10" s="30"/>
      <c r="M10" s="26"/>
      <c r="N10" s="77"/>
      <c r="O10" s="62"/>
      <c r="P10" s="62"/>
      <c r="Q10" s="78"/>
      <c r="S10" s="54"/>
    </row>
    <row r="11" spans="1:19" ht="30" customHeight="1" thickBot="1" x14ac:dyDescent="0.35">
      <c r="A11" s="58"/>
      <c r="B11" s="21"/>
      <c r="C11" s="31"/>
      <c r="D11" s="10"/>
      <c r="E11" s="10"/>
      <c r="F11" s="10"/>
      <c r="G11" s="10"/>
      <c r="H11" s="10"/>
      <c r="I11" s="10"/>
      <c r="J11" s="10"/>
      <c r="K11" s="10"/>
      <c r="L11" s="32"/>
      <c r="M11" s="33"/>
      <c r="N11" s="77"/>
      <c r="O11" s="62"/>
      <c r="P11" s="62"/>
      <c r="Q11" s="78"/>
      <c r="S11" s="54"/>
    </row>
    <row r="12" spans="1:19" ht="30" customHeight="1" thickTop="1" x14ac:dyDescent="0.25">
      <c r="A12" s="58"/>
      <c r="B12" s="21"/>
      <c r="C12" s="21"/>
      <c r="D12" s="34"/>
      <c r="E12" s="15"/>
      <c r="F12" s="15"/>
      <c r="G12" s="15"/>
      <c r="H12" s="15"/>
      <c r="I12" s="15"/>
      <c r="J12" s="15"/>
      <c r="K12" s="15"/>
      <c r="N12" s="75"/>
      <c r="O12" s="76"/>
      <c r="P12" s="76"/>
      <c r="Q12" s="65"/>
      <c r="S12" s="54"/>
    </row>
    <row r="13" spans="1:19" ht="30" customHeight="1" x14ac:dyDescent="0.25">
      <c r="A13" s="58"/>
      <c r="B13" s="21"/>
      <c r="C13" s="21"/>
      <c r="D13" s="2" t="s">
        <v>8</v>
      </c>
      <c r="E13" s="35"/>
      <c r="F13" s="35"/>
      <c r="G13" s="35"/>
      <c r="H13" s="35"/>
      <c r="I13" s="35"/>
      <c r="J13" s="35"/>
      <c r="K13" s="35"/>
      <c r="N13" s="75"/>
      <c r="O13" s="76"/>
      <c r="P13" s="76"/>
      <c r="Q13" s="65"/>
      <c r="S13" s="58"/>
    </row>
    <row r="14" spans="1:19" ht="30" customHeight="1" thickBot="1" x14ac:dyDescent="0.45">
      <c r="A14" s="58"/>
      <c r="B14" s="21"/>
      <c r="C14" s="21"/>
      <c r="D14" s="84"/>
      <c r="E14" s="37"/>
      <c r="F14" s="37"/>
      <c r="G14" s="37"/>
      <c r="H14" s="37"/>
      <c r="I14" s="37"/>
      <c r="J14" s="37"/>
      <c r="K14" s="37"/>
      <c r="L14" s="37"/>
      <c r="M14" s="36"/>
      <c r="N14" s="95" t="s">
        <v>20</v>
      </c>
      <c r="O14" s="95"/>
      <c r="P14" s="95"/>
      <c r="Q14" s="65"/>
      <c r="S14" s="54"/>
    </row>
    <row r="15" spans="1:19" ht="30" customHeight="1" thickTop="1" x14ac:dyDescent="0.3">
      <c r="A15" s="59"/>
      <c r="B15" s="38"/>
      <c r="C15" s="88" t="s">
        <v>20</v>
      </c>
      <c r="D15" s="89"/>
      <c r="E15" s="92"/>
      <c r="F15" s="92"/>
      <c r="G15" s="92"/>
      <c r="H15" s="92"/>
      <c r="I15" s="92"/>
      <c r="J15" s="92"/>
      <c r="K15" s="92" t="str">
        <f ca="1">TEXT(K5, "ddd dd/mm")</f>
        <v>Sun 01/03</v>
      </c>
      <c r="L15" s="39"/>
      <c r="M15" s="40"/>
      <c r="N15" s="96"/>
      <c r="O15" s="97"/>
      <c r="P15" s="97"/>
      <c r="Q15" s="98"/>
      <c r="S15" s="54"/>
    </row>
    <row r="16" spans="1:19" ht="30" customHeight="1" x14ac:dyDescent="0.3">
      <c r="A16" s="59"/>
      <c r="B16" s="38"/>
      <c r="C16" s="90"/>
      <c r="D16" s="91"/>
      <c r="E16" s="93"/>
      <c r="F16" s="93"/>
      <c r="G16" s="93"/>
      <c r="H16" s="93"/>
      <c r="I16" s="93"/>
      <c r="J16" s="93"/>
      <c r="K16" s="93"/>
      <c r="L16" s="41"/>
      <c r="N16" s="96"/>
      <c r="O16" s="97"/>
      <c r="P16" s="97"/>
      <c r="Q16" s="98"/>
      <c r="S16" s="54"/>
    </row>
    <row r="17" spans="1:19" ht="30" customHeight="1" x14ac:dyDescent="0.3">
      <c r="A17" s="59"/>
      <c r="B17" s="38"/>
      <c r="C17" s="42"/>
      <c r="D17" s="43"/>
      <c r="E17" s="86"/>
      <c r="F17" s="86"/>
      <c r="G17" s="86"/>
      <c r="H17" s="86"/>
      <c r="I17" s="86"/>
      <c r="J17" s="86"/>
      <c r="K17" s="86"/>
      <c r="L17" s="66"/>
      <c r="M17" s="67"/>
      <c r="N17" s="96"/>
      <c r="O17" s="97"/>
      <c r="P17" s="97"/>
      <c r="Q17" s="98"/>
      <c r="S17" s="54"/>
    </row>
    <row r="18" spans="1:19" ht="30" customHeight="1" x14ac:dyDescent="0.3">
      <c r="A18" s="59"/>
      <c r="B18" s="38"/>
      <c r="C18" s="42"/>
      <c r="D18" s="43"/>
      <c r="E18" s="86"/>
      <c r="F18" s="86"/>
      <c r="G18" s="86"/>
      <c r="H18" s="86"/>
      <c r="I18" s="86"/>
      <c r="J18" s="86"/>
      <c r="K18" s="86"/>
      <c r="L18" s="44"/>
      <c r="N18" s="96"/>
      <c r="O18" s="97"/>
      <c r="P18" s="97"/>
      <c r="Q18" s="98"/>
      <c r="S18" s="54"/>
    </row>
    <row r="19" spans="1:19" ht="30" customHeight="1" x14ac:dyDescent="0.3">
      <c r="A19" s="59"/>
      <c r="B19" s="38"/>
      <c r="C19" s="42"/>
      <c r="D19" s="43"/>
      <c r="E19" s="86"/>
      <c r="F19" s="86"/>
      <c r="G19" s="86"/>
      <c r="H19" s="86"/>
      <c r="I19" s="86"/>
      <c r="J19" s="86"/>
      <c r="K19" s="86"/>
      <c r="L19" s="45"/>
      <c r="N19" s="96"/>
      <c r="O19" s="97"/>
      <c r="P19" s="97"/>
      <c r="Q19" s="98"/>
      <c r="S19" s="54"/>
    </row>
    <row r="20" spans="1:19" ht="30" customHeight="1" x14ac:dyDescent="0.3">
      <c r="A20" s="59"/>
      <c r="B20" s="38"/>
      <c r="C20" s="42"/>
      <c r="D20" s="43"/>
      <c r="E20" s="86"/>
      <c r="F20" s="86"/>
      <c r="G20" s="86"/>
      <c r="H20" s="86"/>
      <c r="I20" s="86"/>
      <c r="J20" s="86"/>
      <c r="K20" s="86"/>
      <c r="L20" s="44"/>
      <c r="N20" s="96"/>
      <c r="O20" s="97"/>
      <c r="P20" s="97"/>
      <c r="Q20" s="98"/>
      <c r="S20" s="54"/>
    </row>
    <row r="21" spans="1:19" ht="30" customHeight="1" x14ac:dyDescent="0.3">
      <c r="A21" s="59"/>
      <c r="B21" s="38"/>
      <c r="C21" s="42"/>
      <c r="D21" s="43"/>
      <c r="E21" s="86"/>
      <c r="F21" s="86"/>
      <c r="G21" s="86"/>
      <c r="H21" s="86"/>
      <c r="I21" s="86"/>
      <c r="J21" s="86"/>
      <c r="K21" s="86"/>
      <c r="L21" s="45"/>
      <c r="N21" s="96"/>
      <c r="O21" s="97"/>
      <c r="P21" s="97"/>
      <c r="Q21" s="98"/>
      <c r="S21" s="54"/>
    </row>
    <row r="22" spans="1:19" ht="30" customHeight="1" x14ac:dyDescent="0.3">
      <c r="A22" s="59"/>
      <c r="B22" s="38"/>
      <c r="C22" s="42"/>
      <c r="D22" s="43"/>
      <c r="E22" s="86"/>
      <c r="F22" s="86"/>
      <c r="G22" s="86"/>
      <c r="H22" s="86"/>
      <c r="I22" s="86"/>
      <c r="J22" s="86"/>
      <c r="K22" s="86"/>
      <c r="L22" s="44"/>
      <c r="N22" s="96"/>
      <c r="O22" s="97"/>
      <c r="P22" s="97"/>
      <c r="Q22" s="98"/>
      <c r="S22" s="54"/>
    </row>
    <row r="23" spans="1:19" ht="30" customHeight="1" x14ac:dyDescent="0.3">
      <c r="A23" s="59"/>
      <c r="B23" s="38"/>
      <c r="C23" s="42"/>
      <c r="D23" s="43"/>
      <c r="E23" s="86"/>
      <c r="F23" s="86"/>
      <c r="G23" s="86"/>
      <c r="H23" s="86"/>
      <c r="I23" s="86"/>
      <c r="J23" s="86"/>
      <c r="K23" s="86"/>
      <c r="L23" s="45"/>
      <c r="N23" s="96"/>
      <c r="O23" s="97"/>
      <c r="P23" s="97"/>
      <c r="Q23" s="98"/>
      <c r="S23" s="54"/>
    </row>
    <row r="24" spans="1:19" ht="30" customHeight="1" x14ac:dyDescent="0.3">
      <c r="A24" s="59"/>
      <c r="B24" s="38"/>
      <c r="C24" s="42"/>
      <c r="D24" s="43"/>
      <c r="E24" s="86"/>
      <c r="F24" s="86"/>
      <c r="G24" s="86"/>
      <c r="H24" s="86"/>
      <c r="I24" s="86"/>
      <c r="J24" s="86"/>
      <c r="K24" s="86"/>
      <c r="L24" s="46"/>
      <c r="N24" s="96"/>
      <c r="O24" s="97"/>
      <c r="P24" s="97"/>
      <c r="Q24" s="98"/>
      <c r="S24" s="54"/>
    </row>
    <row r="25" spans="1:19" ht="30" customHeight="1" x14ac:dyDescent="0.3">
      <c r="A25" s="59"/>
      <c r="B25" s="38"/>
      <c r="C25" s="42"/>
      <c r="D25" s="43"/>
      <c r="E25" s="86"/>
      <c r="F25" s="86"/>
      <c r="G25" s="86"/>
      <c r="H25" s="86"/>
      <c r="I25" s="86"/>
      <c r="J25" s="86"/>
      <c r="K25" s="86"/>
      <c r="L25" s="46"/>
      <c r="N25" s="96"/>
      <c r="O25" s="97"/>
      <c r="P25" s="97"/>
      <c r="Q25" s="98"/>
      <c r="S25" s="54"/>
    </row>
    <row r="26" spans="1:19" ht="30" customHeight="1" thickBot="1" x14ac:dyDescent="0.35">
      <c r="A26" s="59"/>
      <c r="B26" s="38"/>
      <c r="C26" s="47"/>
      <c r="D26" s="48"/>
      <c r="E26" s="87"/>
      <c r="F26" s="87"/>
      <c r="G26" s="87"/>
      <c r="H26" s="87"/>
      <c r="I26" s="87"/>
      <c r="J26" s="87"/>
      <c r="K26" s="87"/>
      <c r="L26" s="49"/>
      <c r="N26" s="96"/>
      <c r="O26" s="97"/>
      <c r="P26" s="97"/>
      <c r="Q26" s="98"/>
      <c r="S26" s="54"/>
    </row>
    <row r="27" spans="1:19" ht="30" customHeight="1" thickTop="1" x14ac:dyDescent="0.3">
      <c r="A27" s="59"/>
      <c r="B27" s="38"/>
      <c r="C27" s="38"/>
      <c r="D27" s="63"/>
      <c r="E27" s="63"/>
      <c r="F27" s="63"/>
      <c r="G27" s="63"/>
      <c r="H27" s="63"/>
      <c r="I27" s="63"/>
      <c r="J27" s="63"/>
      <c r="K27" s="63"/>
      <c r="L27" s="63"/>
      <c r="N27" s="64"/>
      <c r="O27" s="64"/>
      <c r="P27" s="62"/>
      <c r="Q27" s="65"/>
      <c r="S27" s="54"/>
    </row>
    <row r="28" spans="1:19" ht="30" customHeight="1" thickBot="1" x14ac:dyDescent="0.45">
      <c r="A28" s="58"/>
      <c r="B28" s="21"/>
      <c r="C28" s="21"/>
      <c r="D28" s="84"/>
      <c r="E28" s="37"/>
      <c r="F28" s="37"/>
      <c r="G28" s="37"/>
      <c r="H28" s="37"/>
      <c r="I28" s="37"/>
      <c r="J28" s="37"/>
      <c r="K28" s="37"/>
      <c r="L28" s="37"/>
      <c r="M28" s="36"/>
      <c r="N28" s="95" t="s">
        <v>21</v>
      </c>
      <c r="O28" s="95"/>
      <c r="P28" s="95"/>
      <c r="Q28" s="65"/>
      <c r="S28" s="54"/>
    </row>
    <row r="29" spans="1:19" ht="30" customHeight="1" thickTop="1" x14ac:dyDescent="0.3">
      <c r="A29" s="59"/>
      <c r="B29" s="38"/>
      <c r="C29" s="88" t="s">
        <v>21</v>
      </c>
      <c r="D29" s="89"/>
      <c r="E29" s="92" t="str">
        <f ca="1">TEXT(E6, "ddd dd/mm")</f>
        <v>Mon 02/03</v>
      </c>
      <c r="F29" s="92" t="str">
        <f t="shared" ref="F29:J29" ca="1" si="0">TEXT(F6, "ddd dd/mm")</f>
        <v>Tue 03/03</v>
      </c>
      <c r="G29" s="92" t="str">
        <f t="shared" ca="1" si="0"/>
        <v>Wed 04/03</v>
      </c>
      <c r="H29" s="92" t="str">
        <f t="shared" ca="1" si="0"/>
        <v>Thu 05/03</v>
      </c>
      <c r="I29" s="92" t="str">
        <f t="shared" ca="1" si="0"/>
        <v>Fri 06/03</v>
      </c>
      <c r="J29" s="92" t="str">
        <f t="shared" ca="1" si="0"/>
        <v>Sat 07/03</v>
      </c>
      <c r="K29" s="92" t="str">
        <f ca="1">TEXT(K6, "ddd dd/mm")</f>
        <v>Sun 08/03</v>
      </c>
      <c r="L29" s="39"/>
      <c r="M29" s="40"/>
      <c r="N29" s="96"/>
      <c r="O29" s="97"/>
      <c r="P29" s="97"/>
      <c r="Q29" s="98"/>
      <c r="S29" s="54"/>
    </row>
    <row r="30" spans="1:19" ht="30" customHeight="1" x14ac:dyDescent="0.3">
      <c r="A30" s="59"/>
      <c r="B30" s="38"/>
      <c r="C30" s="90"/>
      <c r="D30" s="91"/>
      <c r="E30" s="93"/>
      <c r="F30" s="93"/>
      <c r="G30" s="93"/>
      <c r="H30" s="93"/>
      <c r="I30" s="93"/>
      <c r="J30" s="93"/>
      <c r="K30" s="93"/>
      <c r="L30" s="41"/>
      <c r="N30" s="96"/>
      <c r="O30" s="97"/>
      <c r="P30" s="97"/>
      <c r="Q30" s="98"/>
      <c r="S30" s="54"/>
    </row>
    <row r="31" spans="1:19" ht="30" customHeight="1" x14ac:dyDescent="0.3">
      <c r="A31" s="59"/>
      <c r="B31" s="38"/>
      <c r="C31" s="42"/>
      <c r="D31" s="43"/>
      <c r="E31" s="86"/>
      <c r="F31" s="86"/>
      <c r="G31" s="86"/>
      <c r="H31" s="86"/>
      <c r="I31" s="86"/>
      <c r="J31" s="86"/>
      <c r="K31" s="86"/>
      <c r="L31" s="66"/>
      <c r="M31" s="67"/>
      <c r="N31" s="96"/>
      <c r="O31" s="97"/>
      <c r="P31" s="97"/>
      <c r="Q31" s="98"/>
      <c r="S31" s="54"/>
    </row>
    <row r="32" spans="1:19" ht="30" customHeight="1" x14ac:dyDescent="0.3">
      <c r="A32" s="59"/>
      <c r="B32" s="38"/>
      <c r="C32" s="42"/>
      <c r="D32" s="43"/>
      <c r="E32" s="86"/>
      <c r="F32" s="86"/>
      <c r="G32" s="86"/>
      <c r="H32" s="86"/>
      <c r="I32" s="86"/>
      <c r="J32" s="86"/>
      <c r="K32" s="86"/>
      <c r="L32" s="44"/>
      <c r="N32" s="96"/>
      <c r="O32" s="97"/>
      <c r="P32" s="97"/>
      <c r="Q32" s="98"/>
      <c r="S32" s="54"/>
    </row>
    <row r="33" spans="1:19" ht="30" customHeight="1" x14ac:dyDescent="0.3">
      <c r="A33" s="59"/>
      <c r="B33" s="38"/>
      <c r="C33" s="42"/>
      <c r="D33" s="43"/>
      <c r="E33" s="86"/>
      <c r="F33" s="86"/>
      <c r="G33" s="86"/>
      <c r="H33" s="86"/>
      <c r="I33" s="86"/>
      <c r="J33" s="86"/>
      <c r="K33" s="86"/>
      <c r="L33" s="45"/>
      <c r="N33" s="96"/>
      <c r="O33" s="97"/>
      <c r="P33" s="97"/>
      <c r="Q33" s="98"/>
      <c r="S33" s="54"/>
    </row>
    <row r="34" spans="1:19" ht="30" customHeight="1" x14ac:dyDescent="0.3">
      <c r="A34" s="59"/>
      <c r="B34" s="38"/>
      <c r="C34" s="42"/>
      <c r="D34" s="43"/>
      <c r="E34" s="86"/>
      <c r="F34" s="86"/>
      <c r="G34" s="86"/>
      <c r="H34" s="86"/>
      <c r="I34" s="86"/>
      <c r="J34" s="86"/>
      <c r="K34" s="86"/>
      <c r="L34" s="44"/>
      <c r="N34" s="96"/>
      <c r="O34" s="97"/>
      <c r="P34" s="97"/>
      <c r="Q34" s="98"/>
      <c r="S34" s="54"/>
    </row>
    <row r="35" spans="1:19" ht="30" customHeight="1" x14ac:dyDescent="0.3">
      <c r="A35" s="59"/>
      <c r="B35" s="38"/>
      <c r="C35" s="42"/>
      <c r="D35" s="43"/>
      <c r="E35" s="86"/>
      <c r="F35" s="86"/>
      <c r="G35" s="86"/>
      <c r="H35" s="86"/>
      <c r="I35" s="86"/>
      <c r="J35" s="86"/>
      <c r="K35" s="86"/>
      <c r="L35" s="45"/>
      <c r="N35" s="96"/>
      <c r="O35" s="97"/>
      <c r="P35" s="97"/>
      <c r="Q35" s="98"/>
      <c r="S35" s="54"/>
    </row>
    <row r="36" spans="1:19" ht="30" customHeight="1" x14ac:dyDescent="0.3">
      <c r="A36" s="59"/>
      <c r="B36" s="38"/>
      <c r="C36" s="42"/>
      <c r="D36" s="43"/>
      <c r="E36" s="86"/>
      <c r="F36" s="86"/>
      <c r="G36" s="86"/>
      <c r="H36" s="86"/>
      <c r="I36" s="86"/>
      <c r="J36" s="86"/>
      <c r="K36" s="86"/>
      <c r="L36" s="44"/>
      <c r="N36" s="96"/>
      <c r="O36" s="97"/>
      <c r="P36" s="97"/>
      <c r="Q36" s="98"/>
      <c r="S36" s="54"/>
    </row>
    <row r="37" spans="1:19" ht="30" customHeight="1" x14ac:dyDescent="0.3">
      <c r="A37" s="59"/>
      <c r="B37" s="38"/>
      <c r="C37" s="42"/>
      <c r="D37" s="43"/>
      <c r="E37" s="86"/>
      <c r="F37" s="86"/>
      <c r="G37" s="86"/>
      <c r="H37" s="86"/>
      <c r="I37" s="86"/>
      <c r="J37" s="86"/>
      <c r="K37" s="86"/>
      <c r="L37" s="45"/>
      <c r="N37" s="96"/>
      <c r="O37" s="97"/>
      <c r="P37" s="97"/>
      <c r="Q37" s="98"/>
      <c r="S37" s="54"/>
    </row>
    <row r="38" spans="1:19" ht="30" customHeight="1" x14ac:dyDescent="0.3">
      <c r="A38" s="59"/>
      <c r="B38" s="38"/>
      <c r="C38" s="42"/>
      <c r="D38" s="43"/>
      <c r="E38" s="86"/>
      <c r="F38" s="86"/>
      <c r="G38" s="86"/>
      <c r="H38" s="86"/>
      <c r="I38" s="86"/>
      <c r="J38" s="86"/>
      <c r="K38" s="86"/>
      <c r="L38" s="46"/>
      <c r="N38" s="96"/>
      <c r="O38" s="97"/>
      <c r="P38" s="97"/>
      <c r="Q38" s="98"/>
      <c r="S38" s="54"/>
    </row>
    <row r="39" spans="1:19" ht="30" customHeight="1" x14ac:dyDescent="0.3">
      <c r="A39" s="59"/>
      <c r="B39" s="38"/>
      <c r="C39" s="42"/>
      <c r="D39" s="43"/>
      <c r="E39" s="86"/>
      <c r="F39" s="86"/>
      <c r="G39" s="86"/>
      <c r="H39" s="86"/>
      <c r="I39" s="86"/>
      <c r="J39" s="86"/>
      <c r="K39" s="86"/>
      <c r="L39" s="46"/>
      <c r="N39" s="96"/>
      <c r="O39" s="97"/>
      <c r="P39" s="97"/>
      <c r="Q39" s="98"/>
      <c r="S39" s="54"/>
    </row>
    <row r="40" spans="1:19" ht="30" customHeight="1" thickBot="1" x14ac:dyDescent="0.35">
      <c r="A40" s="59"/>
      <c r="B40" s="38"/>
      <c r="C40" s="47"/>
      <c r="D40" s="48"/>
      <c r="E40" s="87"/>
      <c r="F40" s="87"/>
      <c r="G40" s="87"/>
      <c r="H40" s="87"/>
      <c r="I40" s="87"/>
      <c r="J40" s="87"/>
      <c r="K40" s="87"/>
      <c r="L40" s="49"/>
      <c r="N40" s="96"/>
      <c r="O40" s="97"/>
      <c r="P40" s="97"/>
      <c r="Q40" s="98"/>
      <c r="S40" s="54"/>
    </row>
    <row r="41" spans="1:19" ht="30" customHeight="1" thickTop="1" x14ac:dyDescent="0.3">
      <c r="A41" s="59"/>
      <c r="B41" s="38"/>
      <c r="C41" s="38"/>
      <c r="D41" s="63"/>
      <c r="E41" s="63"/>
      <c r="F41" s="63"/>
      <c r="G41" s="63"/>
      <c r="H41" s="63"/>
      <c r="I41" s="63"/>
      <c r="J41" s="63"/>
      <c r="K41" s="63"/>
      <c r="L41" s="63"/>
      <c r="N41" s="64"/>
      <c r="O41" s="64"/>
      <c r="P41" s="62"/>
      <c r="Q41" s="65"/>
      <c r="S41" s="54"/>
    </row>
    <row r="42" spans="1:19" ht="30" customHeight="1" thickBot="1" x14ac:dyDescent="0.45">
      <c r="A42" s="59"/>
      <c r="B42" s="38"/>
      <c r="C42" s="38"/>
      <c r="D42" s="84"/>
      <c r="E42" s="37"/>
      <c r="F42" s="37"/>
      <c r="G42" s="37"/>
      <c r="H42" s="37"/>
      <c r="I42" s="37"/>
      <c r="J42" s="37"/>
      <c r="K42" s="37"/>
      <c r="L42" s="48"/>
      <c r="N42" s="95" t="s">
        <v>22</v>
      </c>
      <c r="O42" s="95"/>
      <c r="P42" s="95"/>
      <c r="Q42" s="65"/>
      <c r="S42" s="54"/>
    </row>
    <row r="43" spans="1:19" ht="30" customHeight="1" thickTop="1" x14ac:dyDescent="0.3">
      <c r="A43" s="59"/>
      <c r="B43" s="38"/>
      <c r="C43" s="88" t="s">
        <v>22</v>
      </c>
      <c r="D43" s="89"/>
      <c r="E43" s="92" t="str">
        <f ca="1">TEXT(E7, "ddd dd/mm")</f>
        <v>Mon 09/03</v>
      </c>
      <c r="F43" s="92" t="str">
        <f t="shared" ref="F43:K43" ca="1" si="1">TEXT(F7, "ddd dd/mm")</f>
        <v>Tue 10/03</v>
      </c>
      <c r="G43" s="92" t="str">
        <f t="shared" ca="1" si="1"/>
        <v>Wed 11/03</v>
      </c>
      <c r="H43" s="92" t="str">
        <f t="shared" ca="1" si="1"/>
        <v>Thu 12/03</v>
      </c>
      <c r="I43" s="92" t="str">
        <f t="shared" ca="1" si="1"/>
        <v>Fri 13/03</v>
      </c>
      <c r="J43" s="92" t="str">
        <f t="shared" ca="1" si="1"/>
        <v>Sat 14/03</v>
      </c>
      <c r="K43" s="92" t="str">
        <f t="shared" ca="1" si="1"/>
        <v>Sun 15/03</v>
      </c>
      <c r="L43" s="39"/>
      <c r="N43" s="96"/>
      <c r="O43" s="97"/>
      <c r="P43" s="97"/>
      <c r="Q43" s="98"/>
      <c r="S43" s="54"/>
    </row>
    <row r="44" spans="1:19" ht="30" customHeight="1" x14ac:dyDescent="0.3">
      <c r="A44" s="59"/>
      <c r="B44" s="38"/>
      <c r="C44" s="90"/>
      <c r="D44" s="91"/>
      <c r="E44" s="93"/>
      <c r="F44" s="93"/>
      <c r="G44" s="93"/>
      <c r="H44" s="93"/>
      <c r="I44" s="93"/>
      <c r="J44" s="93"/>
      <c r="K44" s="93"/>
      <c r="L44" s="41"/>
      <c r="N44" s="96"/>
      <c r="O44" s="97"/>
      <c r="P44" s="97"/>
      <c r="Q44" s="98"/>
      <c r="S44" s="54"/>
    </row>
    <row r="45" spans="1:19" ht="30" customHeight="1" x14ac:dyDescent="0.3">
      <c r="A45" s="59"/>
      <c r="B45" s="38"/>
      <c r="C45" s="42"/>
      <c r="D45" s="43"/>
      <c r="E45" s="86"/>
      <c r="F45" s="86"/>
      <c r="G45" s="86"/>
      <c r="H45" s="86"/>
      <c r="I45" s="86"/>
      <c r="J45" s="86"/>
      <c r="K45" s="86"/>
      <c r="L45" s="66"/>
      <c r="N45" s="96"/>
      <c r="O45" s="97"/>
      <c r="P45" s="97"/>
      <c r="Q45" s="98"/>
      <c r="S45" s="54"/>
    </row>
    <row r="46" spans="1:19" ht="30" customHeight="1" x14ac:dyDescent="0.3">
      <c r="A46" s="59"/>
      <c r="B46" s="38"/>
      <c r="C46" s="42"/>
      <c r="D46" s="43"/>
      <c r="E46" s="86"/>
      <c r="F46" s="86"/>
      <c r="G46" s="86"/>
      <c r="H46" s="86"/>
      <c r="I46" s="86"/>
      <c r="J46" s="86"/>
      <c r="K46" s="86"/>
      <c r="L46" s="44"/>
      <c r="N46" s="96"/>
      <c r="O46" s="97"/>
      <c r="P46" s="97"/>
      <c r="Q46" s="98"/>
      <c r="S46" s="54"/>
    </row>
    <row r="47" spans="1:19" ht="30" customHeight="1" x14ac:dyDescent="0.3">
      <c r="A47" s="59"/>
      <c r="B47" s="38"/>
      <c r="C47" s="42"/>
      <c r="D47" s="43"/>
      <c r="E47" s="86"/>
      <c r="F47" s="86"/>
      <c r="G47" s="86"/>
      <c r="H47" s="86"/>
      <c r="I47" s="86"/>
      <c r="J47" s="86"/>
      <c r="K47" s="86"/>
      <c r="L47" s="45"/>
      <c r="N47" s="96"/>
      <c r="O47" s="97"/>
      <c r="P47" s="97"/>
      <c r="Q47" s="98"/>
      <c r="S47" s="54"/>
    </row>
    <row r="48" spans="1:19" ht="30" customHeight="1" x14ac:dyDescent="0.3">
      <c r="A48" s="59"/>
      <c r="B48" s="38"/>
      <c r="C48" s="42"/>
      <c r="D48" s="43"/>
      <c r="E48" s="86"/>
      <c r="F48" s="86"/>
      <c r="G48" s="86"/>
      <c r="H48" s="86"/>
      <c r="I48" s="86"/>
      <c r="J48" s="86"/>
      <c r="K48" s="86"/>
      <c r="L48" s="44"/>
      <c r="N48" s="96"/>
      <c r="O48" s="97"/>
      <c r="P48" s="97"/>
      <c r="Q48" s="98"/>
      <c r="S48" s="54"/>
    </row>
    <row r="49" spans="1:19" ht="30" customHeight="1" x14ac:dyDescent="0.3">
      <c r="A49" s="59"/>
      <c r="B49" s="38"/>
      <c r="C49" s="42"/>
      <c r="D49" s="43"/>
      <c r="E49" s="86"/>
      <c r="F49" s="86"/>
      <c r="G49" s="86"/>
      <c r="H49" s="86"/>
      <c r="I49" s="86"/>
      <c r="J49" s="86"/>
      <c r="K49" s="86"/>
      <c r="L49" s="45"/>
      <c r="N49" s="96"/>
      <c r="O49" s="97"/>
      <c r="P49" s="97"/>
      <c r="Q49" s="98"/>
      <c r="S49" s="54"/>
    </row>
    <row r="50" spans="1:19" ht="30" customHeight="1" x14ac:dyDescent="0.3">
      <c r="A50" s="59"/>
      <c r="B50" s="38"/>
      <c r="C50" s="42"/>
      <c r="D50" s="43"/>
      <c r="E50" s="86"/>
      <c r="F50" s="86"/>
      <c r="G50" s="86"/>
      <c r="H50" s="86"/>
      <c r="I50" s="86"/>
      <c r="J50" s="86"/>
      <c r="K50" s="86"/>
      <c r="L50" s="44"/>
      <c r="N50" s="96"/>
      <c r="O50" s="97"/>
      <c r="P50" s="97"/>
      <c r="Q50" s="98"/>
      <c r="S50" s="54"/>
    </row>
    <row r="51" spans="1:19" ht="30" customHeight="1" x14ac:dyDescent="0.3">
      <c r="A51" s="59"/>
      <c r="B51" s="38"/>
      <c r="C51" s="42"/>
      <c r="D51" s="43"/>
      <c r="E51" s="86"/>
      <c r="F51" s="86"/>
      <c r="G51" s="86"/>
      <c r="H51" s="86"/>
      <c r="I51" s="86"/>
      <c r="J51" s="86"/>
      <c r="K51" s="86"/>
      <c r="L51" s="45"/>
      <c r="N51" s="96"/>
      <c r="O51" s="97"/>
      <c r="P51" s="97"/>
      <c r="Q51" s="98"/>
      <c r="S51" s="54"/>
    </row>
    <row r="52" spans="1:19" ht="30" customHeight="1" x14ac:dyDescent="0.3">
      <c r="A52" s="59"/>
      <c r="B52" s="38"/>
      <c r="C52" s="42"/>
      <c r="D52" s="43"/>
      <c r="E52" s="86"/>
      <c r="F52" s="86"/>
      <c r="G52" s="86"/>
      <c r="H52" s="86"/>
      <c r="I52" s="86"/>
      <c r="J52" s="86"/>
      <c r="K52" s="86"/>
      <c r="L52" s="46"/>
      <c r="N52" s="96"/>
      <c r="O52" s="97"/>
      <c r="P52" s="97"/>
      <c r="Q52" s="98"/>
      <c r="S52" s="54"/>
    </row>
    <row r="53" spans="1:19" ht="30" customHeight="1" x14ac:dyDescent="0.3">
      <c r="A53" s="59"/>
      <c r="B53" s="38"/>
      <c r="C53" s="42"/>
      <c r="D53" s="43"/>
      <c r="E53" s="86"/>
      <c r="F53" s="86"/>
      <c r="G53" s="86"/>
      <c r="H53" s="86"/>
      <c r="I53" s="86"/>
      <c r="J53" s="86"/>
      <c r="K53" s="86"/>
      <c r="L53" s="46"/>
      <c r="N53" s="96"/>
      <c r="O53" s="97"/>
      <c r="P53" s="97"/>
      <c r="Q53" s="98"/>
      <c r="S53" s="54"/>
    </row>
    <row r="54" spans="1:19" ht="30" customHeight="1" thickBot="1" x14ac:dyDescent="0.35">
      <c r="A54" s="59"/>
      <c r="B54" s="38"/>
      <c r="C54" s="47"/>
      <c r="D54" s="48"/>
      <c r="E54" s="87"/>
      <c r="F54" s="87"/>
      <c r="G54" s="87"/>
      <c r="H54" s="87"/>
      <c r="I54" s="87"/>
      <c r="J54" s="87"/>
      <c r="K54" s="87"/>
      <c r="L54" s="49"/>
      <c r="N54" s="96"/>
      <c r="O54" s="97"/>
      <c r="P54" s="97"/>
      <c r="Q54" s="98"/>
      <c r="S54" s="54"/>
    </row>
    <row r="55" spans="1:19" ht="30" customHeight="1" thickTop="1" x14ac:dyDescent="0.3">
      <c r="A55" s="59"/>
      <c r="B55" s="38"/>
      <c r="C55" s="38"/>
      <c r="D55" s="63"/>
      <c r="E55" s="63"/>
      <c r="F55" s="63"/>
      <c r="G55" s="63"/>
      <c r="H55" s="63"/>
      <c r="I55" s="63"/>
      <c r="J55" s="63"/>
      <c r="K55" s="63"/>
      <c r="L55" s="63"/>
      <c r="N55" s="64"/>
      <c r="O55" s="64"/>
      <c r="P55" s="62"/>
      <c r="Q55" s="65"/>
      <c r="S55" s="54"/>
    </row>
    <row r="56" spans="1:19" ht="30" customHeight="1" thickBot="1" x14ac:dyDescent="0.45">
      <c r="A56" s="59"/>
      <c r="B56" s="38"/>
      <c r="C56" s="38"/>
      <c r="D56" s="84"/>
      <c r="E56" s="63"/>
      <c r="F56" s="63"/>
      <c r="G56" s="63"/>
      <c r="H56" s="63"/>
      <c r="I56" s="63"/>
      <c r="J56" s="63"/>
      <c r="K56" s="63"/>
      <c r="L56" s="63"/>
      <c r="N56" s="95" t="s">
        <v>23</v>
      </c>
      <c r="O56" s="95"/>
      <c r="P56" s="95"/>
      <c r="Q56" s="65"/>
      <c r="S56" s="54"/>
    </row>
    <row r="57" spans="1:19" ht="30" customHeight="1" thickTop="1" x14ac:dyDescent="0.3">
      <c r="A57" s="59"/>
      <c r="B57" s="38"/>
      <c r="C57" s="88" t="s">
        <v>23</v>
      </c>
      <c r="D57" s="89"/>
      <c r="E57" s="92" t="str">
        <f ca="1">TEXT(E8, "ddd dd/mm")</f>
        <v>Mon 16/03</v>
      </c>
      <c r="F57" s="92" t="str">
        <f t="shared" ref="F57:K57" ca="1" si="2">TEXT(F8, "ddd dd/mm")</f>
        <v>Tue 17/03</v>
      </c>
      <c r="G57" s="92" t="str">
        <f t="shared" ca="1" si="2"/>
        <v>Wed 18/03</v>
      </c>
      <c r="H57" s="92" t="str">
        <f t="shared" ca="1" si="2"/>
        <v>Thu 19/03</v>
      </c>
      <c r="I57" s="92" t="str">
        <f t="shared" ca="1" si="2"/>
        <v>Fri 20/03</v>
      </c>
      <c r="J57" s="92" t="str">
        <f t="shared" ca="1" si="2"/>
        <v>Sat 21/03</v>
      </c>
      <c r="K57" s="92" t="str">
        <f t="shared" ca="1" si="2"/>
        <v>Sun 22/03</v>
      </c>
      <c r="L57" s="39"/>
      <c r="N57" s="96"/>
      <c r="O57" s="97"/>
      <c r="P57" s="97"/>
      <c r="Q57" s="98"/>
      <c r="S57" s="54"/>
    </row>
    <row r="58" spans="1:19" ht="30" customHeight="1" x14ac:dyDescent="0.3">
      <c r="A58" s="59"/>
      <c r="B58" s="38"/>
      <c r="C58" s="90"/>
      <c r="D58" s="91"/>
      <c r="E58" s="93"/>
      <c r="F58" s="93"/>
      <c r="G58" s="93"/>
      <c r="H58" s="93"/>
      <c r="I58" s="93"/>
      <c r="J58" s="93"/>
      <c r="K58" s="93"/>
      <c r="L58" s="41"/>
      <c r="N58" s="96"/>
      <c r="O58" s="97"/>
      <c r="P58" s="97"/>
      <c r="Q58" s="98"/>
      <c r="S58" s="54"/>
    </row>
    <row r="59" spans="1:19" ht="30" customHeight="1" x14ac:dyDescent="0.3">
      <c r="A59" s="59"/>
      <c r="B59" s="38"/>
      <c r="C59" s="42"/>
      <c r="D59" s="43"/>
      <c r="E59" s="86"/>
      <c r="F59" s="86"/>
      <c r="G59" s="86"/>
      <c r="H59" s="86"/>
      <c r="I59" s="86"/>
      <c r="J59" s="86"/>
      <c r="K59" s="86"/>
      <c r="L59" s="66"/>
      <c r="N59" s="96"/>
      <c r="O59" s="97"/>
      <c r="P59" s="97"/>
      <c r="Q59" s="98"/>
      <c r="S59" s="54"/>
    </row>
    <row r="60" spans="1:19" ht="30" customHeight="1" x14ac:dyDescent="0.3">
      <c r="A60" s="59"/>
      <c r="B60" s="38"/>
      <c r="C60" s="42"/>
      <c r="D60" s="43"/>
      <c r="E60" s="86"/>
      <c r="F60" s="86"/>
      <c r="G60" s="86"/>
      <c r="H60" s="86"/>
      <c r="I60" s="86"/>
      <c r="J60" s="86"/>
      <c r="K60" s="86"/>
      <c r="L60" s="44"/>
      <c r="N60" s="96"/>
      <c r="O60" s="97"/>
      <c r="P60" s="97"/>
      <c r="Q60" s="98"/>
      <c r="S60" s="54"/>
    </row>
    <row r="61" spans="1:19" ht="30" customHeight="1" x14ac:dyDescent="0.3">
      <c r="A61" s="59"/>
      <c r="B61" s="38"/>
      <c r="C61" s="42"/>
      <c r="D61" s="43"/>
      <c r="E61" s="86"/>
      <c r="F61" s="86"/>
      <c r="G61" s="86"/>
      <c r="H61" s="86"/>
      <c r="I61" s="86"/>
      <c r="J61" s="86"/>
      <c r="K61" s="86"/>
      <c r="L61" s="45"/>
      <c r="N61" s="96"/>
      <c r="O61" s="97"/>
      <c r="P61" s="97"/>
      <c r="Q61" s="98"/>
      <c r="S61" s="54"/>
    </row>
    <row r="62" spans="1:19" ht="30" customHeight="1" x14ac:dyDescent="0.3">
      <c r="A62" s="59"/>
      <c r="B62" s="38"/>
      <c r="C62" s="42"/>
      <c r="D62" s="43"/>
      <c r="E62" s="86"/>
      <c r="F62" s="86"/>
      <c r="G62" s="86"/>
      <c r="H62" s="86"/>
      <c r="I62" s="86"/>
      <c r="J62" s="86"/>
      <c r="K62" s="86"/>
      <c r="L62" s="44"/>
      <c r="N62" s="96"/>
      <c r="O62" s="97"/>
      <c r="P62" s="97"/>
      <c r="Q62" s="98"/>
      <c r="S62" s="54"/>
    </row>
    <row r="63" spans="1:19" ht="30" customHeight="1" x14ac:dyDescent="0.3">
      <c r="A63" s="59"/>
      <c r="B63" s="38"/>
      <c r="C63" s="42"/>
      <c r="D63" s="43"/>
      <c r="E63" s="86"/>
      <c r="F63" s="86"/>
      <c r="G63" s="86"/>
      <c r="H63" s="86"/>
      <c r="I63" s="86"/>
      <c r="J63" s="86"/>
      <c r="K63" s="86"/>
      <c r="L63" s="45"/>
      <c r="N63" s="96"/>
      <c r="O63" s="97"/>
      <c r="P63" s="97"/>
      <c r="Q63" s="98"/>
      <c r="S63" s="54"/>
    </row>
    <row r="64" spans="1:19" ht="30" customHeight="1" x14ac:dyDescent="0.3">
      <c r="A64" s="59"/>
      <c r="B64" s="38"/>
      <c r="C64" s="42"/>
      <c r="D64" s="43"/>
      <c r="E64" s="86"/>
      <c r="F64" s="86"/>
      <c r="G64" s="86"/>
      <c r="H64" s="86"/>
      <c r="I64" s="86"/>
      <c r="J64" s="86"/>
      <c r="K64" s="86"/>
      <c r="L64" s="44"/>
      <c r="N64" s="96"/>
      <c r="O64" s="97"/>
      <c r="P64" s="97"/>
      <c r="Q64" s="98"/>
      <c r="S64" s="54"/>
    </row>
    <row r="65" spans="1:21" ht="30" customHeight="1" x14ac:dyDescent="0.3">
      <c r="A65" s="59"/>
      <c r="B65" s="38"/>
      <c r="C65" s="42"/>
      <c r="D65" s="43"/>
      <c r="E65" s="86"/>
      <c r="F65" s="86"/>
      <c r="G65" s="86"/>
      <c r="H65" s="86"/>
      <c r="I65" s="86"/>
      <c r="J65" s="86"/>
      <c r="K65" s="86"/>
      <c r="L65" s="45"/>
      <c r="N65" s="96"/>
      <c r="O65" s="97"/>
      <c r="P65" s="97"/>
      <c r="Q65" s="98"/>
      <c r="S65" s="54"/>
    </row>
    <row r="66" spans="1:21" ht="30" customHeight="1" x14ac:dyDescent="0.3">
      <c r="A66" s="59"/>
      <c r="B66" s="38"/>
      <c r="C66" s="42"/>
      <c r="D66" s="43"/>
      <c r="E66" s="86"/>
      <c r="F66" s="86"/>
      <c r="G66" s="86"/>
      <c r="H66" s="86"/>
      <c r="I66" s="86"/>
      <c r="J66" s="86"/>
      <c r="K66" s="86"/>
      <c r="L66" s="46"/>
      <c r="N66" s="96"/>
      <c r="O66" s="97"/>
      <c r="P66" s="97"/>
      <c r="Q66" s="98"/>
      <c r="S66" s="54"/>
    </row>
    <row r="67" spans="1:21" ht="30" customHeight="1" x14ac:dyDescent="0.3">
      <c r="A67" s="59"/>
      <c r="B67" s="38"/>
      <c r="C67" s="42"/>
      <c r="D67" s="43"/>
      <c r="E67" s="86"/>
      <c r="F67" s="86"/>
      <c r="G67" s="86"/>
      <c r="H67" s="86"/>
      <c r="I67" s="86"/>
      <c r="J67" s="86"/>
      <c r="K67" s="86"/>
      <c r="L67" s="46"/>
      <c r="N67" s="96"/>
      <c r="O67" s="97"/>
      <c r="P67" s="97"/>
      <c r="Q67" s="98"/>
      <c r="S67" s="54"/>
    </row>
    <row r="68" spans="1:21" ht="30" customHeight="1" thickBot="1" x14ac:dyDescent="0.35">
      <c r="A68" s="59"/>
      <c r="B68" s="38"/>
      <c r="C68" s="47"/>
      <c r="D68" s="48"/>
      <c r="E68" s="87"/>
      <c r="F68" s="87"/>
      <c r="G68" s="87"/>
      <c r="H68" s="87"/>
      <c r="I68" s="87"/>
      <c r="J68" s="87"/>
      <c r="K68" s="87"/>
      <c r="L68" s="49"/>
      <c r="N68" s="96"/>
      <c r="O68" s="97"/>
      <c r="P68" s="97"/>
      <c r="Q68" s="98"/>
      <c r="S68" s="54"/>
    </row>
    <row r="69" spans="1:21" ht="30" customHeight="1" thickTop="1" x14ac:dyDescent="0.3">
      <c r="A69" s="59"/>
      <c r="B69" s="38"/>
      <c r="C69" s="38"/>
      <c r="D69" s="63"/>
      <c r="E69" s="63"/>
      <c r="F69" s="63"/>
      <c r="G69" s="63"/>
      <c r="H69" s="63"/>
      <c r="I69" s="63"/>
      <c r="J69" s="63"/>
      <c r="K69" s="63"/>
      <c r="L69" s="63"/>
      <c r="N69" s="64"/>
      <c r="O69" s="64"/>
      <c r="P69" s="62"/>
      <c r="Q69" s="65"/>
      <c r="S69" s="54"/>
    </row>
    <row r="70" spans="1:21" ht="30" customHeight="1" thickBot="1" x14ac:dyDescent="0.45">
      <c r="A70" s="59"/>
      <c r="B70" s="38"/>
      <c r="C70" s="38"/>
      <c r="D70" s="84"/>
      <c r="E70" s="63"/>
      <c r="F70" s="63"/>
      <c r="G70" s="63"/>
      <c r="H70" s="63"/>
      <c r="I70" s="63"/>
      <c r="J70" s="63"/>
      <c r="K70" s="63"/>
      <c r="L70" s="63"/>
      <c r="N70" s="95" t="s">
        <v>24</v>
      </c>
      <c r="O70" s="95"/>
      <c r="P70" s="95"/>
      <c r="Q70" s="65"/>
      <c r="S70" s="54"/>
    </row>
    <row r="71" spans="1:21" ht="30" customHeight="1" thickTop="1" x14ac:dyDescent="0.3">
      <c r="A71" s="59"/>
      <c r="B71" s="38"/>
      <c r="C71" s="88" t="s">
        <v>24</v>
      </c>
      <c r="D71" s="89"/>
      <c r="E71" s="92" t="str">
        <f ca="1">TEXT(E9, "ddd dd/mm")</f>
        <v>Mon 23/03</v>
      </c>
      <c r="F71" s="92" t="str">
        <f t="shared" ref="F71" ca="1" si="3">TEXT(F9, "ddd dd/mm")</f>
        <v>Tue 24/03</v>
      </c>
      <c r="G71" s="92" t="str">
        <f t="shared" ref="G71:K71" ca="1" si="4">TEXT(G9, "ddd dd/mm")</f>
        <v>Wed 25/03</v>
      </c>
      <c r="H71" s="92" t="str">
        <f t="shared" ca="1" si="4"/>
        <v>Thu 26/03</v>
      </c>
      <c r="I71" s="92" t="str">
        <f t="shared" ca="1" si="4"/>
        <v>Fri 27/03</v>
      </c>
      <c r="J71" s="92" t="str">
        <f t="shared" ca="1" si="4"/>
        <v>Sat 28/03</v>
      </c>
      <c r="K71" s="92" t="str">
        <f t="shared" ca="1" si="4"/>
        <v>Sun 29/03</v>
      </c>
      <c r="L71" s="39"/>
      <c r="N71" s="96"/>
      <c r="O71" s="97"/>
      <c r="P71" s="97"/>
      <c r="Q71" s="98"/>
      <c r="S71" s="54"/>
    </row>
    <row r="72" spans="1:21" ht="30" customHeight="1" x14ac:dyDescent="0.3">
      <c r="A72" s="59"/>
      <c r="B72" s="38"/>
      <c r="C72" s="90"/>
      <c r="D72" s="91"/>
      <c r="E72" s="93"/>
      <c r="F72" s="93"/>
      <c r="G72" s="93"/>
      <c r="H72" s="93"/>
      <c r="I72" s="93"/>
      <c r="J72" s="93"/>
      <c r="K72" s="93"/>
      <c r="L72" s="41"/>
      <c r="N72" s="96"/>
      <c r="O72" s="97"/>
      <c r="P72" s="97"/>
      <c r="Q72" s="98"/>
      <c r="R72" s="3"/>
      <c r="S72" s="54"/>
      <c r="T72" s="3"/>
      <c r="U72" s="3"/>
    </row>
    <row r="73" spans="1:21" ht="30" customHeight="1" x14ac:dyDescent="0.3">
      <c r="A73" s="59"/>
      <c r="B73" s="38"/>
      <c r="C73" s="42"/>
      <c r="D73" s="43"/>
      <c r="E73" s="86"/>
      <c r="F73" s="86"/>
      <c r="G73" s="86"/>
      <c r="H73" s="86"/>
      <c r="I73" s="86"/>
      <c r="J73" s="86"/>
      <c r="K73" s="86"/>
      <c r="L73" s="66"/>
      <c r="N73" s="96"/>
      <c r="O73" s="97"/>
      <c r="P73" s="97"/>
      <c r="Q73" s="98"/>
      <c r="S73" s="54"/>
    </row>
    <row r="74" spans="1:21" ht="30" customHeight="1" x14ac:dyDescent="0.3">
      <c r="A74" s="59"/>
      <c r="B74" s="38"/>
      <c r="C74" s="42"/>
      <c r="D74" s="43"/>
      <c r="E74" s="86"/>
      <c r="F74" s="86"/>
      <c r="G74" s="86"/>
      <c r="H74" s="86"/>
      <c r="I74" s="86"/>
      <c r="J74" s="86"/>
      <c r="K74" s="86"/>
      <c r="L74" s="44"/>
      <c r="N74" s="96"/>
      <c r="O74" s="97"/>
      <c r="P74" s="97"/>
      <c r="Q74" s="98"/>
      <c r="S74" s="54"/>
    </row>
    <row r="75" spans="1:21" ht="30" customHeight="1" x14ac:dyDescent="0.3">
      <c r="A75" s="59"/>
      <c r="B75" s="38"/>
      <c r="C75" s="42"/>
      <c r="D75" s="43"/>
      <c r="E75" s="86"/>
      <c r="F75" s="86"/>
      <c r="G75" s="86"/>
      <c r="H75" s="86"/>
      <c r="I75" s="86"/>
      <c r="J75" s="86"/>
      <c r="K75" s="86"/>
      <c r="L75" s="45"/>
      <c r="N75" s="96"/>
      <c r="O75" s="97"/>
      <c r="P75" s="97"/>
      <c r="Q75" s="98"/>
      <c r="S75" s="54"/>
    </row>
    <row r="76" spans="1:21" ht="30" customHeight="1" x14ac:dyDescent="0.3">
      <c r="A76" s="59"/>
      <c r="B76" s="38"/>
      <c r="C76" s="42"/>
      <c r="D76" s="43"/>
      <c r="E76" s="86"/>
      <c r="F76" s="86"/>
      <c r="G76" s="86"/>
      <c r="H76" s="86"/>
      <c r="I76" s="86"/>
      <c r="J76" s="86"/>
      <c r="K76" s="86"/>
      <c r="L76" s="44"/>
      <c r="N76" s="96"/>
      <c r="O76" s="97"/>
      <c r="P76" s="97"/>
      <c r="Q76" s="98"/>
      <c r="S76" s="54"/>
    </row>
    <row r="77" spans="1:21" ht="30" customHeight="1" x14ac:dyDescent="0.3">
      <c r="A77" s="59"/>
      <c r="B77" s="38"/>
      <c r="C77" s="42"/>
      <c r="D77" s="43"/>
      <c r="E77" s="86"/>
      <c r="F77" s="86"/>
      <c r="G77" s="86"/>
      <c r="H77" s="86"/>
      <c r="I77" s="86"/>
      <c r="J77" s="86"/>
      <c r="K77" s="86"/>
      <c r="L77" s="45"/>
      <c r="N77" s="96"/>
      <c r="O77" s="97"/>
      <c r="P77" s="97"/>
      <c r="Q77" s="98"/>
      <c r="S77" s="54"/>
    </row>
    <row r="78" spans="1:21" ht="30" customHeight="1" x14ac:dyDescent="0.3">
      <c r="A78" s="59"/>
      <c r="B78" s="38"/>
      <c r="C78" s="42"/>
      <c r="D78" s="43"/>
      <c r="E78" s="86"/>
      <c r="F78" s="86"/>
      <c r="G78" s="86"/>
      <c r="H78" s="86"/>
      <c r="I78" s="86"/>
      <c r="J78" s="86"/>
      <c r="K78" s="86"/>
      <c r="L78" s="44"/>
      <c r="N78" s="96"/>
      <c r="O78" s="97"/>
      <c r="P78" s="97"/>
      <c r="Q78" s="98"/>
      <c r="S78" s="54"/>
    </row>
    <row r="79" spans="1:21" ht="30" customHeight="1" x14ac:dyDescent="0.3">
      <c r="A79" s="59"/>
      <c r="B79" s="38"/>
      <c r="C79" s="42"/>
      <c r="D79" s="43"/>
      <c r="E79" s="86"/>
      <c r="F79" s="86"/>
      <c r="G79" s="86"/>
      <c r="H79" s="86"/>
      <c r="I79" s="86"/>
      <c r="J79" s="86"/>
      <c r="K79" s="86"/>
      <c r="L79" s="45"/>
      <c r="N79" s="96"/>
      <c r="O79" s="97"/>
      <c r="P79" s="97"/>
      <c r="Q79" s="98"/>
      <c r="S79" s="54"/>
    </row>
    <row r="80" spans="1:21" ht="30" customHeight="1" x14ac:dyDescent="0.3">
      <c r="A80" s="59"/>
      <c r="B80" s="38"/>
      <c r="C80" s="42"/>
      <c r="D80" s="43"/>
      <c r="E80" s="86"/>
      <c r="F80" s="86"/>
      <c r="G80" s="86"/>
      <c r="H80" s="86"/>
      <c r="I80" s="86"/>
      <c r="J80" s="86"/>
      <c r="K80" s="86"/>
      <c r="L80" s="46"/>
      <c r="N80" s="96"/>
      <c r="O80" s="97"/>
      <c r="P80" s="97"/>
      <c r="Q80" s="98"/>
      <c r="S80" s="54"/>
    </row>
    <row r="81" spans="1:21" ht="30" customHeight="1" x14ac:dyDescent="0.3">
      <c r="A81" s="59"/>
      <c r="B81" s="38"/>
      <c r="C81" s="42"/>
      <c r="D81" s="43"/>
      <c r="E81" s="86"/>
      <c r="F81" s="86"/>
      <c r="G81" s="86"/>
      <c r="H81" s="86"/>
      <c r="I81" s="86"/>
      <c r="J81" s="86"/>
      <c r="K81" s="86"/>
      <c r="L81" s="46"/>
      <c r="N81" s="96"/>
      <c r="O81" s="97"/>
      <c r="P81" s="97"/>
      <c r="Q81" s="98"/>
      <c r="S81" s="54"/>
    </row>
    <row r="82" spans="1:21" ht="30" customHeight="1" thickBot="1" x14ac:dyDescent="0.35">
      <c r="A82" s="59"/>
      <c r="B82" s="38"/>
      <c r="C82" s="47"/>
      <c r="D82" s="48"/>
      <c r="E82" s="87"/>
      <c r="F82" s="87"/>
      <c r="G82" s="87"/>
      <c r="H82" s="87"/>
      <c r="I82" s="87"/>
      <c r="J82" s="87"/>
      <c r="K82" s="87"/>
      <c r="L82" s="49"/>
      <c r="N82" s="96"/>
      <c r="O82" s="97"/>
      <c r="P82" s="97"/>
      <c r="Q82" s="98"/>
      <c r="S82" s="54"/>
    </row>
    <row r="83" spans="1:21" ht="30" customHeight="1" thickTop="1" x14ac:dyDescent="0.3">
      <c r="A83" s="59"/>
      <c r="B83" s="38"/>
      <c r="C83" s="38"/>
      <c r="D83" s="63"/>
      <c r="E83" s="63"/>
      <c r="F83" s="63"/>
      <c r="G83" s="63"/>
      <c r="H83" s="63"/>
      <c r="I83" s="63"/>
      <c r="J83" s="63"/>
      <c r="K83" s="63"/>
      <c r="L83" s="63"/>
      <c r="N83" s="77"/>
      <c r="O83" s="62"/>
      <c r="P83" s="62"/>
      <c r="Q83" s="78"/>
      <c r="S83" s="54"/>
    </row>
    <row r="84" spans="1:21" ht="30" customHeight="1" thickBot="1" x14ac:dyDescent="0.45">
      <c r="A84" s="59"/>
      <c r="B84" s="38"/>
      <c r="C84" s="38"/>
      <c r="D84" s="84"/>
      <c r="E84" s="63"/>
      <c r="F84" s="63"/>
      <c r="G84" s="63"/>
      <c r="H84" s="63"/>
      <c r="I84" s="63"/>
      <c r="J84" s="63"/>
      <c r="K84" s="63"/>
      <c r="L84" s="63"/>
      <c r="N84" s="95" t="s">
        <v>25</v>
      </c>
      <c r="O84" s="95"/>
      <c r="P84" s="95"/>
      <c r="Q84" s="65"/>
      <c r="S84" s="54"/>
    </row>
    <row r="85" spans="1:21" ht="30" customHeight="1" thickTop="1" x14ac:dyDescent="0.3">
      <c r="A85" s="59"/>
      <c r="B85" s="38"/>
      <c r="C85" s="88" t="s">
        <v>25</v>
      </c>
      <c r="D85" s="89"/>
      <c r="E85" s="92" t="str">
        <f ca="1">TEXT(E10, "ddd dd/mm")</f>
        <v>Mon 30/03</v>
      </c>
      <c r="F85" s="92" t="str">
        <f ca="1">TEXT(F10, "ddd dd/mm")</f>
        <v>Tue 31/03</v>
      </c>
      <c r="G85" s="92"/>
      <c r="H85" s="92"/>
      <c r="I85" s="92"/>
      <c r="J85" s="92"/>
      <c r="K85" s="92"/>
      <c r="L85" s="39"/>
      <c r="N85" s="96"/>
      <c r="O85" s="97"/>
      <c r="P85" s="97"/>
      <c r="Q85" s="98"/>
      <c r="S85" s="54"/>
    </row>
    <row r="86" spans="1:21" ht="30" customHeight="1" x14ac:dyDescent="0.3">
      <c r="A86" s="59"/>
      <c r="B86" s="38"/>
      <c r="C86" s="90"/>
      <c r="D86" s="91"/>
      <c r="E86" s="93"/>
      <c r="F86" s="93"/>
      <c r="G86" s="93"/>
      <c r="H86" s="93"/>
      <c r="I86" s="93"/>
      <c r="J86" s="93"/>
      <c r="K86" s="93"/>
      <c r="L86" s="41"/>
      <c r="N86" s="96"/>
      <c r="O86" s="97"/>
      <c r="P86" s="97"/>
      <c r="Q86" s="98"/>
      <c r="R86" s="3"/>
      <c r="S86" s="54"/>
      <c r="T86" s="3"/>
      <c r="U86" s="3"/>
    </row>
    <row r="87" spans="1:21" ht="30" customHeight="1" x14ac:dyDescent="0.3">
      <c r="A87" s="59"/>
      <c r="B87" s="38"/>
      <c r="C87" s="42"/>
      <c r="D87" s="43"/>
      <c r="E87" s="86"/>
      <c r="F87" s="86"/>
      <c r="G87" s="86"/>
      <c r="H87" s="86"/>
      <c r="I87" s="86"/>
      <c r="J87" s="86"/>
      <c r="K87" s="86"/>
      <c r="L87" s="66"/>
      <c r="N87" s="96"/>
      <c r="O87" s="97"/>
      <c r="P87" s="97"/>
      <c r="Q87" s="98"/>
      <c r="S87" s="54"/>
    </row>
    <row r="88" spans="1:21" ht="30" customHeight="1" x14ac:dyDescent="0.3">
      <c r="A88" s="59"/>
      <c r="B88" s="38"/>
      <c r="C88" s="42"/>
      <c r="D88" s="43"/>
      <c r="E88" s="86"/>
      <c r="F88" s="86"/>
      <c r="G88" s="86"/>
      <c r="H88" s="86"/>
      <c r="I88" s="86"/>
      <c r="J88" s="86"/>
      <c r="K88" s="86"/>
      <c r="L88" s="44"/>
      <c r="N88" s="96"/>
      <c r="O88" s="97"/>
      <c r="P88" s="97"/>
      <c r="Q88" s="98"/>
      <c r="S88" s="54"/>
    </row>
    <row r="89" spans="1:21" ht="30" customHeight="1" x14ac:dyDescent="0.3">
      <c r="A89" s="59"/>
      <c r="B89" s="38"/>
      <c r="C89" s="42"/>
      <c r="D89" s="43"/>
      <c r="E89" s="86"/>
      <c r="F89" s="86"/>
      <c r="G89" s="86"/>
      <c r="H89" s="86"/>
      <c r="I89" s="86"/>
      <c r="J89" s="86"/>
      <c r="K89" s="86"/>
      <c r="L89" s="45"/>
      <c r="N89" s="96"/>
      <c r="O89" s="97"/>
      <c r="P89" s="97"/>
      <c r="Q89" s="98"/>
      <c r="S89" s="54"/>
    </row>
    <row r="90" spans="1:21" ht="30" customHeight="1" x14ac:dyDescent="0.3">
      <c r="A90" s="59"/>
      <c r="B90" s="38"/>
      <c r="C90" s="42"/>
      <c r="D90" s="43"/>
      <c r="E90" s="86"/>
      <c r="F90" s="86"/>
      <c r="G90" s="86"/>
      <c r="H90" s="86"/>
      <c r="I90" s="86"/>
      <c r="J90" s="86"/>
      <c r="K90" s="86"/>
      <c r="L90" s="44"/>
      <c r="N90" s="96"/>
      <c r="O90" s="97"/>
      <c r="P90" s="97"/>
      <c r="Q90" s="98"/>
      <c r="S90" s="54"/>
    </row>
    <row r="91" spans="1:21" ht="30" customHeight="1" x14ac:dyDescent="0.3">
      <c r="A91" s="59"/>
      <c r="B91" s="38"/>
      <c r="C91" s="42"/>
      <c r="D91" s="43"/>
      <c r="E91" s="86"/>
      <c r="F91" s="86"/>
      <c r="G91" s="86"/>
      <c r="H91" s="86"/>
      <c r="I91" s="86"/>
      <c r="J91" s="86"/>
      <c r="K91" s="86"/>
      <c r="L91" s="45"/>
      <c r="N91" s="96"/>
      <c r="O91" s="97"/>
      <c r="P91" s="97"/>
      <c r="Q91" s="98"/>
      <c r="S91" s="54"/>
    </row>
    <row r="92" spans="1:21" ht="30" customHeight="1" x14ac:dyDescent="0.3">
      <c r="A92" s="59"/>
      <c r="B92" s="38"/>
      <c r="C92" s="42"/>
      <c r="D92" s="43"/>
      <c r="E92" s="86"/>
      <c r="F92" s="86"/>
      <c r="G92" s="86"/>
      <c r="H92" s="86"/>
      <c r="I92" s="86"/>
      <c r="J92" s="86"/>
      <c r="K92" s="86"/>
      <c r="L92" s="44"/>
      <c r="N92" s="96"/>
      <c r="O92" s="97"/>
      <c r="P92" s="97"/>
      <c r="Q92" s="98"/>
      <c r="S92" s="54"/>
    </row>
    <row r="93" spans="1:21" ht="30" customHeight="1" x14ac:dyDescent="0.3">
      <c r="A93" s="59"/>
      <c r="B93" s="38"/>
      <c r="C93" s="42"/>
      <c r="D93" s="43"/>
      <c r="E93" s="86"/>
      <c r="F93" s="86"/>
      <c r="G93" s="86"/>
      <c r="H93" s="86"/>
      <c r="I93" s="86"/>
      <c r="J93" s="86"/>
      <c r="K93" s="86"/>
      <c r="L93" s="45"/>
      <c r="N93" s="96"/>
      <c r="O93" s="97"/>
      <c r="P93" s="97"/>
      <c r="Q93" s="98"/>
      <c r="S93" s="54"/>
    </row>
    <row r="94" spans="1:21" ht="30" customHeight="1" x14ac:dyDescent="0.3">
      <c r="A94" s="59"/>
      <c r="B94" s="38"/>
      <c r="C94" s="42"/>
      <c r="D94" s="43"/>
      <c r="E94" s="86"/>
      <c r="F94" s="86"/>
      <c r="G94" s="86"/>
      <c r="H94" s="86"/>
      <c r="I94" s="86"/>
      <c r="J94" s="86"/>
      <c r="K94" s="86"/>
      <c r="L94" s="46"/>
      <c r="N94" s="96"/>
      <c r="O94" s="97"/>
      <c r="P94" s="97"/>
      <c r="Q94" s="98"/>
      <c r="S94" s="54"/>
    </row>
    <row r="95" spans="1:21" ht="30" customHeight="1" x14ac:dyDescent="0.3">
      <c r="A95" s="59"/>
      <c r="B95" s="38"/>
      <c r="C95" s="42"/>
      <c r="D95" s="43"/>
      <c r="E95" s="86"/>
      <c r="F95" s="86"/>
      <c r="G95" s="86"/>
      <c r="H95" s="86"/>
      <c r="I95" s="86"/>
      <c r="J95" s="86"/>
      <c r="K95" s="86"/>
      <c r="L95" s="46"/>
      <c r="N95" s="96"/>
      <c r="O95" s="97"/>
      <c r="P95" s="97"/>
      <c r="Q95" s="98"/>
      <c r="S95" s="54"/>
    </row>
    <row r="96" spans="1:21" ht="30" customHeight="1" thickBot="1" x14ac:dyDescent="0.35">
      <c r="A96" s="59"/>
      <c r="B96" s="38"/>
      <c r="C96" s="47"/>
      <c r="D96" s="48"/>
      <c r="E96" s="87"/>
      <c r="F96" s="87"/>
      <c r="G96" s="87"/>
      <c r="H96" s="87"/>
      <c r="I96" s="87"/>
      <c r="J96" s="87"/>
      <c r="K96" s="87"/>
      <c r="L96" s="49"/>
      <c r="N96" s="96"/>
      <c r="O96" s="97"/>
      <c r="P96" s="97"/>
      <c r="Q96" s="98"/>
      <c r="S96" s="54"/>
    </row>
    <row r="97" spans="1:19" ht="30" customHeight="1" thickTop="1" x14ac:dyDescent="0.3">
      <c r="A97" s="59"/>
      <c r="B97" s="38"/>
      <c r="C97" s="38"/>
      <c r="D97" s="63"/>
      <c r="E97" s="63"/>
      <c r="F97" s="63"/>
      <c r="G97" s="63"/>
      <c r="H97" s="63"/>
      <c r="I97" s="63"/>
      <c r="J97" s="63"/>
      <c r="K97" s="63"/>
      <c r="L97" s="63"/>
      <c r="N97" s="64"/>
      <c r="O97" s="64"/>
      <c r="P97" s="62"/>
      <c r="Q97" s="65"/>
      <c r="S97" s="54"/>
    </row>
    <row r="98" spans="1:19" ht="30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6"/>
      <c r="O98" s="56"/>
      <c r="P98" s="54"/>
      <c r="Q98" s="57"/>
      <c r="R98" s="54"/>
      <c r="S98" s="54"/>
    </row>
  </sheetData>
  <sheetProtection sheet="1" objects="1" scenarios="1" selectLockedCells="1"/>
  <dataConsolidate/>
  <mergeCells count="127">
    <mergeCell ref="C85:D86"/>
    <mergeCell ref="C29:D30"/>
    <mergeCell ref="C15:D16"/>
    <mergeCell ref="C43:D44"/>
    <mergeCell ref="C57:D58"/>
    <mergeCell ref="C71:D72"/>
    <mergeCell ref="N92:Q92"/>
    <mergeCell ref="N93:Q93"/>
    <mergeCell ref="N94:Q94"/>
    <mergeCell ref="N73:Q73"/>
    <mergeCell ref="N74:Q74"/>
    <mergeCell ref="N75:Q75"/>
    <mergeCell ref="N76:Q76"/>
    <mergeCell ref="N77:Q77"/>
    <mergeCell ref="N64:Q64"/>
    <mergeCell ref="N65:Q65"/>
    <mergeCell ref="N66:Q66"/>
    <mergeCell ref="N67:Q67"/>
    <mergeCell ref="N68:Q68"/>
    <mergeCell ref="N59:Q59"/>
    <mergeCell ref="N60:Q60"/>
    <mergeCell ref="N61:Q61"/>
    <mergeCell ref="N62:Q62"/>
    <mergeCell ref="N63:Q63"/>
    <mergeCell ref="N95:Q95"/>
    <mergeCell ref="N96:Q96"/>
    <mergeCell ref="N87:Q87"/>
    <mergeCell ref="N88:Q88"/>
    <mergeCell ref="N89:Q89"/>
    <mergeCell ref="N90:Q90"/>
    <mergeCell ref="N91:Q91"/>
    <mergeCell ref="N78:Q78"/>
    <mergeCell ref="N79:Q79"/>
    <mergeCell ref="N80:Q80"/>
    <mergeCell ref="N81:Q81"/>
    <mergeCell ref="N82:Q82"/>
    <mergeCell ref="N84:P84"/>
    <mergeCell ref="N50:Q50"/>
    <mergeCell ref="N51:Q51"/>
    <mergeCell ref="N52:Q52"/>
    <mergeCell ref="N53:Q53"/>
    <mergeCell ref="N54:Q54"/>
    <mergeCell ref="N45:Q45"/>
    <mergeCell ref="N46:Q46"/>
    <mergeCell ref="N47:Q47"/>
    <mergeCell ref="N48:Q48"/>
    <mergeCell ref="N49:Q49"/>
    <mergeCell ref="N36:Q36"/>
    <mergeCell ref="N37:Q37"/>
    <mergeCell ref="N38:Q38"/>
    <mergeCell ref="N39:Q39"/>
    <mergeCell ref="N40:Q40"/>
    <mergeCell ref="N31:Q31"/>
    <mergeCell ref="N32:Q32"/>
    <mergeCell ref="N33:Q33"/>
    <mergeCell ref="N34:Q34"/>
    <mergeCell ref="N35:Q35"/>
    <mergeCell ref="N22:Q22"/>
    <mergeCell ref="N23:Q23"/>
    <mergeCell ref="N24:Q24"/>
    <mergeCell ref="N25:Q25"/>
    <mergeCell ref="N26:Q26"/>
    <mergeCell ref="N17:Q17"/>
    <mergeCell ref="N18:Q18"/>
    <mergeCell ref="N19:Q19"/>
    <mergeCell ref="N20:Q20"/>
    <mergeCell ref="N21:Q21"/>
    <mergeCell ref="E85:E86"/>
    <mergeCell ref="F85:F86"/>
    <mergeCell ref="G85:G86"/>
    <mergeCell ref="H85:H86"/>
    <mergeCell ref="I85:I86"/>
    <mergeCell ref="J85:J86"/>
    <mergeCell ref="K85:K86"/>
    <mergeCell ref="N85:Q85"/>
    <mergeCell ref="N86:Q86"/>
    <mergeCell ref="D5:D6"/>
    <mergeCell ref="N14:P14"/>
    <mergeCell ref="E15:E16"/>
    <mergeCell ref="F15:F16"/>
    <mergeCell ref="G15:G16"/>
    <mergeCell ref="H15:H16"/>
    <mergeCell ref="I15:I16"/>
    <mergeCell ref="J15:J16"/>
    <mergeCell ref="K15:K16"/>
    <mergeCell ref="N15:Q15"/>
    <mergeCell ref="N16:Q16"/>
    <mergeCell ref="N28:P28"/>
    <mergeCell ref="E29:E30"/>
    <mergeCell ref="F29:F30"/>
    <mergeCell ref="G29:G30"/>
    <mergeCell ref="H29:H30"/>
    <mergeCell ref="I29:I30"/>
    <mergeCell ref="J29:J30"/>
    <mergeCell ref="K29:K30"/>
    <mergeCell ref="N29:Q29"/>
    <mergeCell ref="N30:Q30"/>
    <mergeCell ref="N42:P42"/>
    <mergeCell ref="E43:E44"/>
    <mergeCell ref="F43:F44"/>
    <mergeCell ref="G43:G44"/>
    <mergeCell ref="H43:H44"/>
    <mergeCell ref="I43:I44"/>
    <mergeCell ref="J43:J44"/>
    <mergeCell ref="K43:K44"/>
    <mergeCell ref="N43:Q43"/>
    <mergeCell ref="N44:Q44"/>
    <mergeCell ref="N56:P56"/>
    <mergeCell ref="E57:E58"/>
    <mergeCell ref="F57:F58"/>
    <mergeCell ref="G57:G58"/>
    <mergeCell ref="H57:H58"/>
    <mergeCell ref="I57:I58"/>
    <mergeCell ref="J57:J58"/>
    <mergeCell ref="K57:K58"/>
    <mergeCell ref="N57:Q57"/>
    <mergeCell ref="N58:Q58"/>
    <mergeCell ref="N70:P70"/>
    <mergeCell ref="E71:E72"/>
    <mergeCell ref="F71:F72"/>
    <mergeCell ref="G71:G72"/>
    <mergeCell ref="H71:H72"/>
    <mergeCell ref="I71:I72"/>
    <mergeCell ref="J71:J72"/>
    <mergeCell ref="K71:K72"/>
    <mergeCell ref="N71:Q71"/>
    <mergeCell ref="N72:Q72"/>
  </mergeCells>
  <conditionalFormatting sqref="D17:K25">
    <cfRule type="expression" dxfId="202" priority="5">
      <formula>D17&lt;&gt;""</formula>
    </cfRule>
  </conditionalFormatting>
  <conditionalFormatting sqref="D26:K27">
    <cfRule type="expression" dxfId="201" priority="8">
      <formula>COLUMN(#REF!)&gt;2</formula>
    </cfRule>
  </conditionalFormatting>
  <conditionalFormatting sqref="D31:K39">
    <cfRule type="expression" dxfId="200" priority="6">
      <formula>D31&lt;&gt;""</formula>
    </cfRule>
  </conditionalFormatting>
  <conditionalFormatting sqref="D40:K41">
    <cfRule type="expression" dxfId="199" priority="10">
      <formula>COLUMN(#REF!)&gt;2</formula>
    </cfRule>
  </conditionalFormatting>
  <conditionalFormatting sqref="D45:K53">
    <cfRule type="expression" dxfId="198" priority="4">
      <formula>D45&lt;&gt;""</formula>
    </cfRule>
  </conditionalFormatting>
  <conditionalFormatting sqref="D54:K55">
    <cfRule type="expression" dxfId="197" priority="12">
      <formula>COLUMN(#REF!)&gt;2</formula>
    </cfRule>
  </conditionalFormatting>
  <conditionalFormatting sqref="D59:K67">
    <cfRule type="expression" dxfId="196" priority="3">
      <formula>D59&lt;&gt;""</formula>
    </cfRule>
  </conditionalFormatting>
  <conditionalFormatting sqref="D68:K69">
    <cfRule type="expression" dxfId="195" priority="14">
      <formula>COLUMN(#REF!)&gt;2</formula>
    </cfRule>
  </conditionalFormatting>
  <conditionalFormatting sqref="D73:K81">
    <cfRule type="expression" dxfId="194" priority="2">
      <formula>D73&lt;&gt;""</formula>
    </cfRule>
  </conditionalFormatting>
  <conditionalFormatting sqref="D82:K83">
    <cfRule type="expression" dxfId="193" priority="16">
      <formula>COLUMN(#REF!)&gt;2</formula>
    </cfRule>
  </conditionalFormatting>
  <conditionalFormatting sqref="D87:K95">
    <cfRule type="expression" dxfId="192" priority="1">
      <formula>D87&lt;&gt;""</formula>
    </cfRule>
  </conditionalFormatting>
  <conditionalFormatting sqref="D96:K97">
    <cfRule type="expression" dxfId="191" priority="18">
      <formula>COLUMN(#REF!)&gt;2</formula>
    </cfRule>
  </conditionalFormatting>
  <conditionalFormatting sqref="E5:J5">
    <cfRule type="expression" dxfId="190" priority="25" stopIfTrue="1">
      <formula>DAY(E5)&gt;8</formula>
    </cfRule>
  </conditionalFormatting>
  <conditionalFormatting sqref="E4:K10">
    <cfRule type="timePeriod" dxfId="189" priority="23" timePeriod="thisWeek">
      <formula>AND(TODAY()-ROUNDDOWN(E4,0)&lt;=WEEKDAY(TODAY())-1,ROUNDDOWN(E4,0)-TODAY()&lt;=7-WEEKDAY(TODAY()))</formula>
    </cfRule>
  </conditionalFormatting>
  <conditionalFormatting sqref="E5:K10">
    <cfRule type="expression" dxfId="188" priority="26">
      <formula>VLOOKUP(DAY(E5),$O:$O,1,FALSE)=DAY(E5)</formula>
    </cfRule>
  </conditionalFormatting>
  <conditionalFormatting sqref="E9:K10">
    <cfRule type="expression" dxfId="187" priority="24" stopIfTrue="1">
      <formula>AND(DAY(E9)&gt;=1,DAY(E9)&lt;=15)</formula>
    </cfRule>
  </conditionalFormatting>
  <conditionalFormatting sqref="E56:K56 E70:K70">
    <cfRule type="expression" dxfId="186" priority="44">
      <formula>COLUMN(#REF!)&gt;2</formula>
    </cfRule>
  </conditionalFormatting>
  <conditionalFormatting sqref="E84:K84">
    <cfRule type="expression" dxfId="185" priority="22">
      <formula>COLUMN(#REF!)&gt;2</formula>
    </cfRule>
  </conditionalFormatting>
  <conditionalFormatting sqref="M6:M11">
    <cfRule type="expression" dxfId="184" priority="43">
      <formula>VLOOKUP(DAY(M6),AssignmentDays,1,FALSE)=DAY(M6)</formula>
    </cfRule>
  </conditionalFormatting>
  <conditionalFormatting sqref="M10:M11">
    <cfRule type="expression" dxfId="183" priority="42" stopIfTrue="1">
      <formula>AND(DAY(M10)&gt;=1,DAY(M10)&lt;=15)</formula>
    </cfRule>
  </conditionalFormatting>
  <conditionalFormatting sqref="R72 T72:U72">
    <cfRule type="expression" dxfId="182" priority="32" stopIfTrue="1">
      <formula>AND(DAY(R72)&gt;=1,DAY(R72)&lt;=15)</formula>
    </cfRule>
    <cfRule type="expression" dxfId="181" priority="41">
      <formula>VLOOKUP(DAY(R72),$O:$O,1,FALSE)=DAY(R72)</formula>
    </cfRule>
  </conditionalFormatting>
  <conditionalFormatting sqref="R86 T86:U86">
    <cfRule type="expression" dxfId="180" priority="19" stopIfTrue="1">
      <formula>AND(DAY(R86)&gt;=1,DAY(R86)&lt;=15)</formula>
    </cfRule>
    <cfRule type="expression" dxfId="179" priority="21">
      <formula>VLOOKUP(DAY(R86),$O:$O,1,FALSE)=DAY(R86)</formula>
    </cfRule>
  </conditionalFormatting>
  <dataValidations count="10">
    <dataValidation allowBlank="1" showInputMessage="1" showErrorMessage="1" prompt="March calendar. Calendar year is automatically updated based on cell D5 in Jan sheet." sqref="A1" xr:uid="{F1579AD4-F929-4A2D-B7F0-CF7A8961EF16}"/>
    <dataValidation allowBlank="1" showInputMessage="1" showErrorMessage="1" prompt="Cells E4:K4 contain weekdays" sqref="E4" xr:uid="{D113E8F7-DD30-40C7-A835-6742B40AF953}"/>
    <dataValidation allowBlank="1" showInputMessage="1" showErrorMessage="1" prompt="If this cell doesn’t contain the number 1, then it is a day from a previous month. Cells E5:K10 contain dates for the current month" sqref="E5" xr:uid="{D9CD9008-2598-4DFF-8E1F-447F285AF7A0}"/>
    <dataValidation allowBlank="1" showInputMessage="1" showErrorMessage="1" prompt="Enter the assignment details in this column that correspond to the weekday in column N and day in column O for the calendar month at left" sqref="N4" xr:uid="{8EEB23BC-5330-4911-A812-502C1EDE0BAD}"/>
    <dataValidation allowBlank="1" showInputMessage="1" showErrorMessage="1" prompt="Calendar automatically highlights assignment list entries for the month. Darker fonts are assignments. Lighter fonts are days that belong to the previous or next month" sqref="D4" xr:uid="{2DD8E836-98C5-48C6-A7FB-8A7D0D54E4A5}"/>
    <dataValidation allowBlank="1" showInputMessage="1" showErrorMessage="1" prompt="Calendar year is automatically updated in this cell. To change the calendar year, to go cell D5 in Jan worksheet." sqref="D5:D6" xr:uid="{EF8B3596-1789-4509-B2FB-9866C5B9B0DC}"/>
    <dataValidation allowBlank="1" showInputMessage="1" showErrorMessage="1" prompt="Day of the week goes in this row, starting in cell D16" sqref="A29 A15" xr:uid="{08017143-EF85-47CB-8F65-A3B374E1B595}"/>
    <dataValidation allowBlank="1" showInputMessage="1" showErrorMessage="1" prompt="Weekdays are in this row, from Monday to Friday" sqref="C57 C43 C71 C29 E29:K29 E15:K15 C15 C85" xr:uid="{718FF69D-4E54-47FC-BC65-5E4E21486A50}"/>
    <dataValidation allowBlank="1" showInputMessage="1" showErrorMessage="1" prompt="If this row contains a number less than the previous number or row of numbers, then this row contains dates for the next calendar month" sqref="E10" xr:uid="{96324281-2BBE-47A7-A726-1E483DF73E57}"/>
    <dataValidation allowBlank="1" showInputMessage="1" showErrorMessage="1" prompt="Enter the time of your class and under it, in a new row, the class name for each weekday in columns D to K. Repeat this pattern for all classes in subsequent rows" sqref="D13" xr:uid="{FC26A40C-C0EF-4EAD-AF1D-E00A5E256DC6}"/>
  </dataValidations>
  <printOptions horizontalCentered="1" verticalCentered="1"/>
  <pageMargins left="0.25" right="0.25" top="0.5" bottom="0.5" header="0.3" footer="0.3"/>
  <pageSetup scale="18" orientation="landscape" r:id="rId1"/>
  <rowBreaks count="1" manualBreakCount="1">
    <brk id="1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A5C1-715A-4C01-849B-A9941844165D}">
  <sheetPr>
    <tabColor theme="6" tint="0.39997558519241921"/>
    <pageSetUpPr fitToPage="1"/>
  </sheetPr>
  <dimension ref="A1:U71"/>
  <sheetViews>
    <sheetView showGridLines="0" topLeftCell="A15" zoomScale="59" zoomScaleNormal="100" zoomScalePageLayoutView="84" workbookViewId="0">
      <selection activeCell="N15" sqref="N15:Q15"/>
    </sheetView>
  </sheetViews>
  <sheetFormatPr defaultColWidth="8.59765625" defaultRowHeight="30" customHeight="1" x14ac:dyDescent="0.25"/>
  <cols>
    <col min="1" max="2" width="5.59765625" customWidth="1"/>
    <col min="3" max="3" width="2.59765625" customWidth="1"/>
    <col min="4" max="4" width="19.5" customWidth="1"/>
    <col min="5" max="11" width="24.59765625" customWidth="1"/>
    <col min="12" max="12" width="2.59765625" customWidth="1"/>
    <col min="13" max="13" width="5.59765625" style="11" customWidth="1"/>
    <col min="14" max="14" width="12.59765625" style="50" customWidth="1"/>
    <col min="15" max="15" width="5.59765625" style="50" customWidth="1"/>
    <col min="16" max="16" width="2.59765625" customWidth="1"/>
    <col min="17" max="17" width="70.59765625" style="12" customWidth="1"/>
    <col min="18" max="19" width="5.59765625" customWidth="1"/>
  </cols>
  <sheetData>
    <row r="1" spans="1:19" ht="30" customHeight="1" x14ac:dyDescent="0.25">
      <c r="A1" s="54"/>
      <c r="B1" s="54"/>
      <c r="C1" s="54"/>
      <c r="D1" s="55"/>
      <c r="E1" s="54"/>
      <c r="F1" s="54"/>
      <c r="G1" s="54"/>
      <c r="H1" s="54"/>
      <c r="I1" s="54"/>
      <c r="J1" s="54"/>
      <c r="K1" s="54"/>
      <c r="L1" s="54"/>
      <c r="M1" s="60"/>
      <c r="N1" s="56"/>
      <c r="O1" s="56"/>
      <c r="P1" s="54"/>
      <c r="Q1" s="57"/>
      <c r="R1" s="54"/>
      <c r="S1" s="54"/>
    </row>
    <row r="2" spans="1:19" ht="30" customHeight="1" thickBot="1" x14ac:dyDescent="0.3">
      <c r="A2" s="54"/>
      <c r="D2" s="10"/>
      <c r="E2" s="10"/>
      <c r="F2" s="10"/>
      <c r="G2" s="10"/>
      <c r="H2" s="10"/>
      <c r="I2" s="10"/>
      <c r="J2" s="10"/>
      <c r="K2" s="10"/>
      <c r="N2"/>
      <c r="O2"/>
      <c r="S2" s="54"/>
    </row>
    <row r="3" spans="1:19" ht="30" customHeight="1" thickTop="1" x14ac:dyDescent="0.3">
      <c r="A3" s="54"/>
      <c r="C3" s="14"/>
      <c r="D3" s="15"/>
      <c r="E3" s="15"/>
      <c r="F3" s="15"/>
      <c r="G3" s="15"/>
      <c r="H3" s="15"/>
      <c r="I3" s="15"/>
      <c r="J3" s="15"/>
      <c r="K3" s="15"/>
      <c r="L3" s="16"/>
      <c r="N3" s="68"/>
      <c r="O3" s="64"/>
      <c r="P3" s="69"/>
      <c r="Q3" s="70"/>
      <c r="S3" s="54"/>
    </row>
    <row r="4" spans="1:19" ht="35.1" customHeight="1" x14ac:dyDescent="0.25">
      <c r="A4" s="54"/>
      <c r="C4" s="17"/>
      <c r="D4" s="1" t="s">
        <v>11</v>
      </c>
      <c r="E4" s="18" t="s">
        <v>1</v>
      </c>
      <c r="F4" s="18" t="s">
        <v>2</v>
      </c>
      <c r="G4" s="18" t="s">
        <v>3</v>
      </c>
      <c r="H4" s="18" t="s">
        <v>4</v>
      </c>
      <c r="I4" s="18" t="s">
        <v>5</v>
      </c>
      <c r="J4" s="18" t="s">
        <v>6</v>
      </c>
      <c r="K4" s="18" t="s">
        <v>7</v>
      </c>
      <c r="L4" s="19"/>
      <c r="N4" s="71"/>
      <c r="O4" s="69"/>
      <c r="P4" s="69"/>
      <c r="Q4" s="72"/>
      <c r="S4" s="54"/>
    </row>
    <row r="5" spans="1:19" ht="30" customHeight="1" x14ac:dyDescent="0.3">
      <c r="A5" s="58"/>
      <c r="B5" s="21"/>
      <c r="C5" s="22"/>
      <c r="D5" s="94">
        <f ca="1">CalendarYear</f>
        <v>2026</v>
      </c>
      <c r="E5" s="3">
        <f ca="1">IF(DAY(AprSun1)=1,AprSun1-6,AprSun1+1)</f>
        <v>46111</v>
      </c>
      <c r="F5" s="3">
        <f ca="1">IF(DAY(AprSun1)=1,AprSun1-5,AprSun1+2)</f>
        <v>46112</v>
      </c>
      <c r="G5" s="3">
        <f ca="1">IF(DAY(AprSun1)=1,AprSun1-4,AprSun1+3)</f>
        <v>46113</v>
      </c>
      <c r="H5" s="3">
        <f ca="1">IF(DAY(AprSun1)=1,AprSun1-3,AprSun1+4)</f>
        <v>46114</v>
      </c>
      <c r="I5" s="3">
        <f ca="1">IF(DAY(AprSun1)=1,AprSun1-2,AprSun1+5)</f>
        <v>46115</v>
      </c>
      <c r="J5" s="3">
        <f ca="1">IF(DAY(AprSun1)=1,AprSun1-1,AprSun1+6)</f>
        <v>46116</v>
      </c>
      <c r="K5" s="3">
        <f ca="1">IF(DAY(AprSun1)=1,AprSun1,AprSun1+7)</f>
        <v>46117</v>
      </c>
      <c r="L5" s="24"/>
      <c r="M5" s="25"/>
      <c r="N5" s="68"/>
      <c r="O5" s="69"/>
      <c r="P5" s="69"/>
      <c r="Q5" s="70"/>
      <c r="S5" s="54"/>
    </row>
    <row r="6" spans="1:19" ht="30" customHeight="1" x14ac:dyDescent="0.3">
      <c r="A6" s="58"/>
      <c r="B6" s="21"/>
      <c r="C6" s="22"/>
      <c r="D6" s="94"/>
      <c r="E6" s="3">
        <f ca="1">IF(DAY(AprSun1)=1,AprSun1+1,AprSun1+8)</f>
        <v>46118</v>
      </c>
      <c r="F6" s="3">
        <f ca="1">IF(DAY(AprSun1)=1,AprSun1+2,AprSun1+9)</f>
        <v>46119</v>
      </c>
      <c r="G6" s="3">
        <f ca="1">IF(DAY(AprSun1)=1,AprSun1+3,AprSun1+10)</f>
        <v>46120</v>
      </c>
      <c r="H6" s="3">
        <f ca="1">IF(DAY(AprSun1)=1,AprSun1+4,AprSun1+11)</f>
        <v>46121</v>
      </c>
      <c r="I6" s="3">
        <f ca="1">IF(DAY(AprSun1)=1,AprSun1+5,AprSun1+12)</f>
        <v>46122</v>
      </c>
      <c r="J6" s="3">
        <f ca="1">IF(DAY(AprSun1)=1,AprSun1+6,AprSun1+13)</f>
        <v>46123</v>
      </c>
      <c r="K6" s="3">
        <f ca="1">IF(DAY(AprSun1)=1,AprSun1+7,AprSun1+14)</f>
        <v>46124</v>
      </c>
      <c r="L6" s="24"/>
      <c r="M6" s="26"/>
      <c r="N6" s="73"/>
      <c r="O6" s="74"/>
      <c r="P6" s="74"/>
      <c r="Q6" s="70"/>
      <c r="S6" s="54"/>
    </row>
    <row r="7" spans="1:19" ht="30" customHeight="1" x14ac:dyDescent="0.25">
      <c r="A7" s="58"/>
      <c r="B7" s="21"/>
      <c r="C7" s="22"/>
      <c r="D7" s="27"/>
      <c r="E7" s="3">
        <f ca="1">IF(DAY(AprSun1)=1,AprSun1+8,AprSun1+15)</f>
        <v>46125</v>
      </c>
      <c r="F7" s="3">
        <f ca="1">IF(DAY(AprSun1)=1,AprSun1+9,AprSun1+16)</f>
        <v>46126</v>
      </c>
      <c r="G7" s="3">
        <f ca="1">IF(DAY(AprSun1)=1,AprSun1+10,AprSun1+17)</f>
        <v>46127</v>
      </c>
      <c r="H7" s="3">
        <f ca="1">IF(DAY(AprSun1)=1,AprSun1+11,AprSun1+18)</f>
        <v>46128</v>
      </c>
      <c r="I7" s="3">
        <f ca="1">IF(DAY(AprSun1)=1,AprSun1+12,AprSun1+19)</f>
        <v>46129</v>
      </c>
      <c r="J7" s="3">
        <f ca="1">IF(DAY(AprSun1)=1,AprSun1+13,AprSun1+20)</f>
        <v>46130</v>
      </c>
      <c r="K7" s="3">
        <f ca="1">IF(DAY(AprSun1)=1,AprSun1+14,AprSun1+21)</f>
        <v>46131</v>
      </c>
      <c r="L7" s="24"/>
      <c r="M7" s="26"/>
      <c r="N7" s="75"/>
      <c r="O7" s="76"/>
      <c r="P7" s="76"/>
      <c r="Q7" s="70"/>
      <c r="S7" s="54"/>
    </row>
    <row r="8" spans="1:19" ht="30" customHeight="1" x14ac:dyDescent="0.3">
      <c r="A8" s="58"/>
      <c r="B8" s="21"/>
      <c r="C8" s="22"/>
      <c r="D8" s="27"/>
      <c r="E8" s="3">
        <f ca="1">IF(DAY(AprSun1)=1,AprSun1+15,AprSun1+22)</f>
        <v>46132</v>
      </c>
      <c r="F8" s="3">
        <f ca="1">IF(DAY(AprSun1)=1,AprSun1+16,AprSun1+23)</f>
        <v>46133</v>
      </c>
      <c r="G8" s="3">
        <f ca="1">IF(DAY(AprSun1)=1,AprSun1+17,AprSun1+24)</f>
        <v>46134</v>
      </c>
      <c r="H8" s="3">
        <f ca="1">IF(DAY(AprSun1)=1,AprSun1+18,AprSun1+25)</f>
        <v>46135</v>
      </c>
      <c r="I8" s="3">
        <f ca="1">IF(DAY(AprSun1)=1,AprSun1+19,AprSun1+26)</f>
        <v>46136</v>
      </c>
      <c r="J8" s="3">
        <f ca="1">IF(DAY(AprSun1)=1,AprSun1+20,AprSun1+27)</f>
        <v>46137</v>
      </c>
      <c r="K8" s="3">
        <f ca="1">IF(DAY(AprSun1)=1,AprSun1+21,AprSun1+28)</f>
        <v>46138</v>
      </c>
      <c r="L8" s="24"/>
      <c r="M8" s="26"/>
      <c r="N8" s="77"/>
      <c r="O8" s="62"/>
      <c r="P8" s="62"/>
      <c r="Q8" s="70"/>
      <c r="S8" s="54"/>
    </row>
    <row r="9" spans="1:19" ht="30" customHeight="1" x14ac:dyDescent="0.3">
      <c r="A9" s="58"/>
      <c r="B9" s="21"/>
      <c r="C9" s="22"/>
      <c r="D9" s="27"/>
      <c r="E9" s="3">
        <f ca="1">IF(DAY(AprSun1)=1,AprSun1+22,AprSun1+29)</f>
        <v>46139</v>
      </c>
      <c r="F9" s="3">
        <f ca="1">IF(DAY(AprSun1)=1,AprSun1+23,AprSun1+30)</f>
        <v>46140</v>
      </c>
      <c r="G9" s="3">
        <f ca="1">IF(DAY(AprSun1)=1,AprSun1+24,AprSun1+31)</f>
        <v>46141</v>
      </c>
      <c r="H9" s="3">
        <f ca="1">IF(DAY(AprSun1)=1,AprSun1+25,AprSun1+32)</f>
        <v>46142</v>
      </c>
      <c r="I9" s="3">
        <f ca="1">IF(DAY(AprSun1)=1,AprSun1+26,AprSun1+33)</f>
        <v>46143</v>
      </c>
      <c r="J9" s="3">
        <f ca="1">IF(DAY(AprSun1)=1,AprSun1+27,AprSun1+34)</f>
        <v>46144</v>
      </c>
      <c r="K9" s="3">
        <f ca="1">IF(DAY(AprSun1)=1,AprSun1+28,AprSun1+35)</f>
        <v>46145</v>
      </c>
      <c r="L9" s="24"/>
      <c r="M9" s="26"/>
      <c r="N9" s="77"/>
      <c r="O9" s="62"/>
      <c r="P9" s="62"/>
      <c r="Q9" s="70"/>
      <c r="S9" s="54"/>
    </row>
    <row r="10" spans="1:19" ht="30" customHeight="1" x14ac:dyDescent="0.3">
      <c r="A10" s="58"/>
      <c r="B10" s="21"/>
      <c r="C10" s="22"/>
      <c r="D10" s="27"/>
      <c r="E10" s="3">
        <f ca="1">IF(DAY(AprSun1)=1,AprSun1+29,AprSun1+36)</f>
        <v>46146</v>
      </c>
      <c r="F10" s="3">
        <f ca="1">IF(DAY(AprSun1)=1,AprSun1+30,AprSun1+37)</f>
        <v>46147</v>
      </c>
      <c r="G10" s="3">
        <f ca="1">IF(DAY(AprSun1)=1,AprSun1+31,AprSun1+38)</f>
        <v>46148</v>
      </c>
      <c r="H10" s="3">
        <f ca="1">IF(DAY(AprSun1)=1,AprSun1+32,AprSun1+39)</f>
        <v>46149</v>
      </c>
      <c r="I10" s="3">
        <f ca="1">IF(DAY(AprSun1)=1,AprSun1+33,AprSun1+40)</f>
        <v>46150</v>
      </c>
      <c r="J10" s="3">
        <f ca="1">IF(DAY(AprSun1)=1,AprSun1+34,AprSun1+41)</f>
        <v>46151</v>
      </c>
      <c r="K10" s="3">
        <f ca="1">IF(DAY(AprSun1)=1,AprSun1+35,AprSun1+42)</f>
        <v>46152</v>
      </c>
      <c r="L10" s="30"/>
      <c r="M10" s="26"/>
      <c r="N10" s="77"/>
      <c r="O10" s="62"/>
      <c r="P10" s="62"/>
      <c r="Q10" s="78"/>
      <c r="S10" s="54"/>
    </row>
    <row r="11" spans="1:19" ht="30" customHeight="1" thickBot="1" x14ac:dyDescent="0.35">
      <c r="A11" s="58"/>
      <c r="B11" s="21"/>
      <c r="C11" s="31"/>
      <c r="D11" s="10"/>
      <c r="E11" s="10"/>
      <c r="F11" s="10"/>
      <c r="G11" s="10"/>
      <c r="H11" s="10"/>
      <c r="I11" s="10"/>
      <c r="J11" s="10"/>
      <c r="K11" s="10"/>
      <c r="L11" s="32"/>
      <c r="M11" s="33"/>
      <c r="N11" s="77"/>
      <c r="O11" s="62"/>
      <c r="P11" s="62"/>
      <c r="Q11" s="78"/>
      <c r="S11" s="54"/>
    </row>
    <row r="12" spans="1:19" ht="30" customHeight="1" thickTop="1" x14ac:dyDescent="0.25">
      <c r="A12" s="58"/>
      <c r="B12" s="21"/>
      <c r="C12" s="21"/>
      <c r="D12" s="34"/>
      <c r="E12" s="15"/>
      <c r="F12" s="15"/>
      <c r="G12" s="15"/>
      <c r="H12" s="15"/>
      <c r="I12" s="15"/>
      <c r="J12" s="15"/>
      <c r="K12" s="15"/>
      <c r="N12" s="75"/>
      <c r="O12" s="76"/>
      <c r="P12" s="76"/>
      <c r="Q12" s="65"/>
      <c r="S12" s="54"/>
    </row>
    <row r="13" spans="1:19" ht="30" customHeight="1" x14ac:dyDescent="0.25">
      <c r="A13" s="58"/>
      <c r="B13" s="21"/>
      <c r="C13" s="21"/>
      <c r="D13" s="2" t="s">
        <v>8</v>
      </c>
      <c r="E13" s="35"/>
      <c r="F13" s="35"/>
      <c r="G13" s="35"/>
      <c r="H13" s="35"/>
      <c r="I13" s="35"/>
      <c r="J13" s="35"/>
      <c r="K13" s="35"/>
      <c r="N13" s="75"/>
      <c r="O13" s="76"/>
      <c r="P13" s="76"/>
      <c r="Q13" s="65"/>
      <c r="S13" s="58"/>
    </row>
    <row r="14" spans="1:19" ht="30" customHeight="1" thickBot="1" x14ac:dyDescent="0.45">
      <c r="A14" s="58"/>
      <c r="B14" s="21"/>
      <c r="C14" s="21"/>
      <c r="D14" s="84"/>
      <c r="E14" s="37"/>
      <c r="F14" s="37"/>
      <c r="G14" s="37"/>
      <c r="H14" s="37"/>
      <c r="I14" s="37"/>
      <c r="J14" s="37"/>
      <c r="K14" s="37"/>
      <c r="L14" s="37"/>
      <c r="M14" s="36"/>
      <c r="N14" s="95" t="s">
        <v>20</v>
      </c>
      <c r="O14" s="95"/>
      <c r="P14" s="95"/>
      <c r="Q14" s="65"/>
      <c r="S14" s="54"/>
    </row>
    <row r="15" spans="1:19" ht="30" customHeight="1" thickTop="1" x14ac:dyDescent="0.3">
      <c r="A15" s="59"/>
      <c r="B15" s="38"/>
      <c r="C15" s="88" t="s">
        <v>20</v>
      </c>
      <c r="D15" s="89"/>
      <c r="E15" s="92" t="str">
        <f ca="1">TEXT(E6, "ddd dd/mm")</f>
        <v>Mon 06/04</v>
      </c>
      <c r="F15" s="92" t="str">
        <f t="shared" ref="F15:J15" ca="1" si="0">TEXT(F6, "ddd dd/mm")</f>
        <v>Tue 07/04</v>
      </c>
      <c r="G15" s="92" t="str">
        <f t="shared" ca="1" si="0"/>
        <v>Wed 08/04</v>
      </c>
      <c r="H15" s="92" t="str">
        <f t="shared" ca="1" si="0"/>
        <v>Thu 09/04</v>
      </c>
      <c r="I15" s="92" t="str">
        <f t="shared" ca="1" si="0"/>
        <v>Fri 10/04</v>
      </c>
      <c r="J15" s="92" t="str">
        <f t="shared" ca="1" si="0"/>
        <v>Sat 11/04</v>
      </c>
      <c r="K15" s="92" t="str">
        <f ca="1">TEXT(K6, "ddd dd/mm")</f>
        <v>Sun 12/04</v>
      </c>
      <c r="L15" s="39"/>
      <c r="M15" s="40"/>
      <c r="N15" s="96"/>
      <c r="O15" s="97"/>
      <c r="P15" s="97"/>
      <c r="Q15" s="98"/>
      <c r="S15" s="54"/>
    </row>
    <row r="16" spans="1:19" ht="30" customHeight="1" x14ac:dyDescent="0.3">
      <c r="A16" s="59"/>
      <c r="B16" s="38"/>
      <c r="C16" s="90"/>
      <c r="D16" s="91"/>
      <c r="E16" s="93"/>
      <c r="F16" s="93"/>
      <c r="G16" s="93"/>
      <c r="H16" s="93"/>
      <c r="I16" s="93"/>
      <c r="J16" s="93"/>
      <c r="K16" s="93"/>
      <c r="L16" s="41"/>
      <c r="N16" s="96"/>
      <c r="O16" s="97"/>
      <c r="P16" s="97"/>
      <c r="Q16" s="98"/>
      <c r="S16" s="54"/>
    </row>
    <row r="17" spans="1:19" ht="30" customHeight="1" x14ac:dyDescent="0.3">
      <c r="A17" s="59"/>
      <c r="B17" s="38"/>
      <c r="C17" s="42"/>
      <c r="D17" s="43"/>
      <c r="E17" s="86"/>
      <c r="F17" s="86"/>
      <c r="G17" s="86"/>
      <c r="H17" s="86"/>
      <c r="I17" s="86"/>
      <c r="J17" s="86"/>
      <c r="K17" s="86"/>
      <c r="L17" s="66"/>
      <c r="M17" s="67"/>
      <c r="N17" s="96"/>
      <c r="O17" s="97"/>
      <c r="P17" s="97"/>
      <c r="Q17" s="98"/>
      <c r="S17" s="54"/>
    </row>
    <row r="18" spans="1:19" ht="30" customHeight="1" x14ac:dyDescent="0.3">
      <c r="A18" s="59"/>
      <c r="B18" s="38"/>
      <c r="C18" s="42"/>
      <c r="D18" s="43"/>
      <c r="E18" s="86"/>
      <c r="F18" s="86"/>
      <c r="G18" s="86"/>
      <c r="H18" s="86"/>
      <c r="I18" s="86"/>
      <c r="J18" s="86"/>
      <c r="K18" s="86"/>
      <c r="L18" s="44"/>
      <c r="N18" s="96"/>
      <c r="O18" s="97"/>
      <c r="P18" s="97"/>
      <c r="Q18" s="98"/>
      <c r="S18" s="54"/>
    </row>
    <row r="19" spans="1:19" ht="30" customHeight="1" x14ac:dyDescent="0.3">
      <c r="A19" s="59"/>
      <c r="B19" s="38"/>
      <c r="C19" s="42"/>
      <c r="D19" s="43"/>
      <c r="E19" s="86"/>
      <c r="F19" s="86"/>
      <c r="G19" s="86"/>
      <c r="H19" s="86"/>
      <c r="I19" s="86"/>
      <c r="J19" s="86"/>
      <c r="K19" s="86"/>
      <c r="L19" s="45"/>
      <c r="N19" s="96"/>
      <c r="O19" s="97"/>
      <c r="P19" s="97"/>
      <c r="Q19" s="98"/>
      <c r="S19" s="54"/>
    </row>
    <row r="20" spans="1:19" ht="30" customHeight="1" x14ac:dyDescent="0.3">
      <c r="A20" s="59"/>
      <c r="B20" s="38"/>
      <c r="C20" s="42"/>
      <c r="D20" s="43"/>
      <c r="E20" s="86"/>
      <c r="F20" s="86"/>
      <c r="G20" s="86"/>
      <c r="H20" s="86"/>
      <c r="I20" s="86"/>
      <c r="J20" s="86"/>
      <c r="K20" s="86"/>
      <c r="L20" s="44"/>
      <c r="N20" s="96"/>
      <c r="O20" s="97"/>
      <c r="P20" s="97"/>
      <c r="Q20" s="98"/>
      <c r="S20" s="54"/>
    </row>
    <row r="21" spans="1:19" ht="30" customHeight="1" x14ac:dyDescent="0.3">
      <c r="A21" s="59"/>
      <c r="B21" s="38"/>
      <c r="C21" s="42"/>
      <c r="D21" s="43"/>
      <c r="E21" s="86"/>
      <c r="F21" s="86"/>
      <c r="G21" s="86"/>
      <c r="H21" s="86"/>
      <c r="I21" s="86"/>
      <c r="J21" s="86"/>
      <c r="K21" s="86"/>
      <c r="L21" s="45"/>
      <c r="N21" s="96"/>
      <c r="O21" s="97"/>
      <c r="P21" s="97"/>
      <c r="Q21" s="98"/>
      <c r="S21" s="54"/>
    </row>
    <row r="22" spans="1:19" ht="30" customHeight="1" x14ac:dyDescent="0.3">
      <c r="A22" s="59"/>
      <c r="B22" s="38"/>
      <c r="C22" s="42"/>
      <c r="D22" s="43"/>
      <c r="E22" s="86"/>
      <c r="F22" s="86"/>
      <c r="G22" s="86"/>
      <c r="H22" s="86"/>
      <c r="I22" s="86"/>
      <c r="J22" s="86"/>
      <c r="K22" s="86"/>
      <c r="L22" s="44"/>
      <c r="N22" s="96"/>
      <c r="O22" s="97"/>
      <c r="P22" s="97"/>
      <c r="Q22" s="98"/>
      <c r="S22" s="54"/>
    </row>
    <row r="23" spans="1:19" ht="30" customHeight="1" x14ac:dyDescent="0.3">
      <c r="A23" s="59"/>
      <c r="B23" s="38"/>
      <c r="C23" s="42"/>
      <c r="D23" s="43"/>
      <c r="E23" s="86"/>
      <c r="F23" s="86"/>
      <c r="G23" s="86"/>
      <c r="H23" s="86"/>
      <c r="I23" s="86"/>
      <c r="J23" s="86"/>
      <c r="K23" s="86"/>
      <c r="L23" s="45"/>
      <c r="N23" s="96"/>
      <c r="O23" s="97"/>
      <c r="P23" s="97"/>
      <c r="Q23" s="98"/>
      <c r="S23" s="54"/>
    </row>
    <row r="24" spans="1:19" ht="30" customHeight="1" x14ac:dyDescent="0.3">
      <c r="A24" s="59"/>
      <c r="B24" s="38"/>
      <c r="C24" s="42"/>
      <c r="D24" s="43"/>
      <c r="E24" s="86"/>
      <c r="F24" s="86"/>
      <c r="G24" s="86"/>
      <c r="H24" s="86"/>
      <c r="I24" s="86"/>
      <c r="J24" s="86"/>
      <c r="K24" s="86"/>
      <c r="L24" s="46"/>
      <c r="N24" s="96"/>
      <c r="O24" s="97"/>
      <c r="P24" s="97"/>
      <c r="Q24" s="98"/>
      <c r="S24" s="54"/>
    </row>
    <row r="25" spans="1:19" ht="30" customHeight="1" x14ac:dyDescent="0.3">
      <c r="A25" s="59"/>
      <c r="B25" s="38"/>
      <c r="C25" s="42"/>
      <c r="D25" s="43"/>
      <c r="E25" s="86"/>
      <c r="F25" s="86"/>
      <c r="G25" s="86"/>
      <c r="H25" s="86"/>
      <c r="I25" s="86"/>
      <c r="J25" s="86"/>
      <c r="K25" s="86"/>
      <c r="L25" s="46"/>
      <c r="N25" s="96"/>
      <c r="O25" s="97"/>
      <c r="P25" s="97"/>
      <c r="Q25" s="98"/>
      <c r="S25" s="54"/>
    </row>
    <row r="26" spans="1:19" ht="30" customHeight="1" thickBot="1" x14ac:dyDescent="0.35">
      <c r="A26" s="59"/>
      <c r="B26" s="38"/>
      <c r="C26" s="47"/>
      <c r="D26" s="48"/>
      <c r="E26" s="87"/>
      <c r="F26" s="87"/>
      <c r="G26" s="87"/>
      <c r="H26" s="87"/>
      <c r="I26" s="87"/>
      <c r="J26" s="87"/>
      <c r="K26" s="87"/>
      <c r="L26" s="49"/>
      <c r="N26" s="96"/>
      <c r="O26" s="97"/>
      <c r="P26" s="97"/>
      <c r="Q26" s="98"/>
      <c r="S26" s="54"/>
    </row>
    <row r="27" spans="1:19" ht="30" customHeight="1" thickTop="1" x14ac:dyDescent="0.3">
      <c r="A27" s="59"/>
      <c r="B27" s="38"/>
      <c r="C27" s="38"/>
      <c r="D27" s="63"/>
      <c r="E27" s="63"/>
      <c r="F27" s="63"/>
      <c r="G27" s="63"/>
      <c r="H27" s="63"/>
      <c r="I27" s="63"/>
      <c r="J27" s="63"/>
      <c r="K27" s="63"/>
      <c r="L27" s="63"/>
      <c r="N27" s="64"/>
      <c r="O27" s="64"/>
      <c r="P27" s="62"/>
      <c r="Q27" s="65"/>
      <c r="S27" s="54"/>
    </row>
    <row r="28" spans="1:19" ht="30" customHeight="1" thickBot="1" x14ac:dyDescent="0.45">
      <c r="A28" s="59"/>
      <c r="B28" s="38"/>
      <c r="C28" s="38"/>
      <c r="D28" s="84"/>
      <c r="E28" s="37"/>
      <c r="F28" s="37"/>
      <c r="G28" s="37"/>
      <c r="H28" s="37"/>
      <c r="I28" s="37"/>
      <c r="J28" s="37"/>
      <c r="K28" s="37"/>
      <c r="L28" s="48"/>
      <c r="N28" s="95" t="s">
        <v>21</v>
      </c>
      <c r="O28" s="95"/>
      <c r="P28" s="95"/>
      <c r="Q28" s="65"/>
      <c r="S28" s="54"/>
    </row>
    <row r="29" spans="1:19" ht="30" customHeight="1" thickTop="1" x14ac:dyDescent="0.3">
      <c r="A29" s="59"/>
      <c r="B29" s="38"/>
      <c r="C29" s="88" t="s">
        <v>21</v>
      </c>
      <c r="D29" s="89"/>
      <c r="E29" s="92" t="str">
        <f ca="1">TEXT(E7, "ddd dd/mm")</f>
        <v>Mon 13/04</v>
      </c>
      <c r="F29" s="92" t="str">
        <f t="shared" ref="F29:K29" ca="1" si="1">TEXT(F7, "ddd dd/mm")</f>
        <v>Tue 14/04</v>
      </c>
      <c r="G29" s="92" t="str">
        <f t="shared" ca="1" si="1"/>
        <v>Wed 15/04</v>
      </c>
      <c r="H29" s="92" t="str">
        <f t="shared" ca="1" si="1"/>
        <v>Thu 16/04</v>
      </c>
      <c r="I29" s="92" t="str">
        <f t="shared" ca="1" si="1"/>
        <v>Fri 17/04</v>
      </c>
      <c r="J29" s="92" t="str">
        <f t="shared" ca="1" si="1"/>
        <v>Sat 18/04</v>
      </c>
      <c r="K29" s="92" t="str">
        <f t="shared" ca="1" si="1"/>
        <v>Sun 19/04</v>
      </c>
      <c r="L29" s="39"/>
      <c r="N29" s="96"/>
      <c r="O29" s="97"/>
      <c r="P29" s="97"/>
      <c r="Q29" s="98"/>
      <c r="S29" s="54"/>
    </row>
    <row r="30" spans="1:19" ht="30" customHeight="1" x14ac:dyDescent="0.3">
      <c r="A30" s="59"/>
      <c r="B30" s="38"/>
      <c r="C30" s="90"/>
      <c r="D30" s="91"/>
      <c r="E30" s="93"/>
      <c r="F30" s="93"/>
      <c r="G30" s="93"/>
      <c r="H30" s="93"/>
      <c r="I30" s="93"/>
      <c r="J30" s="93"/>
      <c r="K30" s="93"/>
      <c r="L30" s="41"/>
      <c r="N30" s="96"/>
      <c r="O30" s="97"/>
      <c r="P30" s="97"/>
      <c r="Q30" s="98"/>
      <c r="S30" s="54"/>
    </row>
    <row r="31" spans="1:19" ht="30" customHeight="1" x14ac:dyDescent="0.3">
      <c r="A31" s="59"/>
      <c r="B31" s="38"/>
      <c r="C31" s="42"/>
      <c r="D31" s="43"/>
      <c r="E31" s="86"/>
      <c r="F31" s="86"/>
      <c r="G31" s="86"/>
      <c r="H31" s="86"/>
      <c r="I31" s="86"/>
      <c r="J31" s="86"/>
      <c r="K31" s="86"/>
      <c r="L31" s="66"/>
      <c r="N31" s="96"/>
      <c r="O31" s="97"/>
      <c r="P31" s="97"/>
      <c r="Q31" s="98"/>
      <c r="S31" s="54"/>
    </row>
    <row r="32" spans="1:19" ht="30" customHeight="1" x14ac:dyDescent="0.3">
      <c r="A32" s="59"/>
      <c r="B32" s="38"/>
      <c r="C32" s="42"/>
      <c r="D32" s="43"/>
      <c r="E32" s="86"/>
      <c r="F32" s="86"/>
      <c r="G32" s="86"/>
      <c r="H32" s="86"/>
      <c r="I32" s="86"/>
      <c r="J32" s="86"/>
      <c r="K32" s="86"/>
      <c r="L32" s="44"/>
      <c r="N32" s="96"/>
      <c r="O32" s="97"/>
      <c r="P32" s="97"/>
      <c r="Q32" s="98"/>
      <c r="S32" s="54"/>
    </row>
    <row r="33" spans="1:19" ht="30" customHeight="1" x14ac:dyDescent="0.3">
      <c r="A33" s="59"/>
      <c r="B33" s="38"/>
      <c r="C33" s="42"/>
      <c r="D33" s="43"/>
      <c r="E33" s="86"/>
      <c r="F33" s="86"/>
      <c r="G33" s="86"/>
      <c r="H33" s="86"/>
      <c r="I33" s="86"/>
      <c r="J33" s="86"/>
      <c r="K33" s="86"/>
      <c r="L33" s="45"/>
      <c r="N33" s="96"/>
      <c r="O33" s="97"/>
      <c r="P33" s="97"/>
      <c r="Q33" s="98"/>
      <c r="S33" s="54"/>
    </row>
    <row r="34" spans="1:19" ht="30" customHeight="1" x14ac:dyDescent="0.3">
      <c r="A34" s="59"/>
      <c r="B34" s="38"/>
      <c r="C34" s="42"/>
      <c r="D34" s="43"/>
      <c r="E34" s="86"/>
      <c r="F34" s="86"/>
      <c r="G34" s="86"/>
      <c r="H34" s="86"/>
      <c r="I34" s="86"/>
      <c r="J34" s="86"/>
      <c r="K34" s="86"/>
      <c r="L34" s="44"/>
      <c r="N34" s="96"/>
      <c r="O34" s="97"/>
      <c r="P34" s="97"/>
      <c r="Q34" s="98"/>
      <c r="S34" s="54"/>
    </row>
    <row r="35" spans="1:19" ht="30" customHeight="1" x14ac:dyDescent="0.3">
      <c r="A35" s="59"/>
      <c r="B35" s="38"/>
      <c r="C35" s="42"/>
      <c r="D35" s="43"/>
      <c r="E35" s="86"/>
      <c r="F35" s="86"/>
      <c r="G35" s="86"/>
      <c r="H35" s="86"/>
      <c r="I35" s="86"/>
      <c r="J35" s="86"/>
      <c r="K35" s="86"/>
      <c r="L35" s="45"/>
      <c r="N35" s="96"/>
      <c r="O35" s="97"/>
      <c r="P35" s="97"/>
      <c r="Q35" s="98"/>
      <c r="S35" s="54"/>
    </row>
    <row r="36" spans="1:19" ht="30" customHeight="1" x14ac:dyDescent="0.3">
      <c r="A36" s="59"/>
      <c r="B36" s="38"/>
      <c r="C36" s="42"/>
      <c r="D36" s="43"/>
      <c r="E36" s="86"/>
      <c r="F36" s="86"/>
      <c r="G36" s="86"/>
      <c r="H36" s="86"/>
      <c r="I36" s="86"/>
      <c r="J36" s="86"/>
      <c r="K36" s="86"/>
      <c r="L36" s="44"/>
      <c r="N36" s="96"/>
      <c r="O36" s="97"/>
      <c r="P36" s="97"/>
      <c r="Q36" s="98"/>
      <c r="S36" s="54"/>
    </row>
    <row r="37" spans="1:19" ht="30" customHeight="1" x14ac:dyDescent="0.3">
      <c r="A37" s="59"/>
      <c r="B37" s="38"/>
      <c r="C37" s="42"/>
      <c r="D37" s="43"/>
      <c r="E37" s="86"/>
      <c r="F37" s="86"/>
      <c r="G37" s="86"/>
      <c r="H37" s="86"/>
      <c r="I37" s="86"/>
      <c r="J37" s="86"/>
      <c r="K37" s="86"/>
      <c r="L37" s="45"/>
      <c r="N37" s="96"/>
      <c r="O37" s="97"/>
      <c r="P37" s="97"/>
      <c r="Q37" s="98"/>
      <c r="S37" s="54"/>
    </row>
    <row r="38" spans="1:19" ht="30" customHeight="1" x14ac:dyDescent="0.3">
      <c r="A38" s="59"/>
      <c r="B38" s="38"/>
      <c r="C38" s="42"/>
      <c r="D38" s="43"/>
      <c r="E38" s="86"/>
      <c r="F38" s="86"/>
      <c r="G38" s="86"/>
      <c r="H38" s="86"/>
      <c r="I38" s="86"/>
      <c r="J38" s="86"/>
      <c r="K38" s="86"/>
      <c r="L38" s="46"/>
      <c r="N38" s="96"/>
      <c r="O38" s="97"/>
      <c r="P38" s="97"/>
      <c r="Q38" s="98"/>
      <c r="S38" s="54"/>
    </row>
    <row r="39" spans="1:19" ht="30" customHeight="1" x14ac:dyDescent="0.3">
      <c r="A39" s="59"/>
      <c r="B39" s="38"/>
      <c r="C39" s="42"/>
      <c r="D39" s="43"/>
      <c r="E39" s="86"/>
      <c r="F39" s="86"/>
      <c r="G39" s="86"/>
      <c r="H39" s="86"/>
      <c r="I39" s="86"/>
      <c r="J39" s="86"/>
      <c r="K39" s="86"/>
      <c r="L39" s="46"/>
      <c r="N39" s="96"/>
      <c r="O39" s="97"/>
      <c r="P39" s="97"/>
      <c r="Q39" s="98"/>
      <c r="S39" s="54"/>
    </row>
    <row r="40" spans="1:19" ht="30" customHeight="1" thickBot="1" x14ac:dyDescent="0.35">
      <c r="A40" s="59"/>
      <c r="B40" s="38"/>
      <c r="C40" s="47"/>
      <c r="D40" s="48"/>
      <c r="E40" s="87"/>
      <c r="F40" s="87"/>
      <c r="G40" s="87"/>
      <c r="H40" s="87"/>
      <c r="I40" s="87"/>
      <c r="J40" s="87"/>
      <c r="K40" s="87"/>
      <c r="L40" s="49"/>
      <c r="N40" s="96"/>
      <c r="O40" s="97"/>
      <c r="P40" s="97"/>
      <c r="Q40" s="98"/>
      <c r="S40" s="54"/>
    </row>
    <row r="41" spans="1:19" ht="30" customHeight="1" thickTop="1" x14ac:dyDescent="0.3">
      <c r="A41" s="59"/>
      <c r="B41" s="38"/>
      <c r="C41" s="38"/>
      <c r="D41" s="63"/>
      <c r="E41" s="63"/>
      <c r="F41" s="63"/>
      <c r="G41" s="63"/>
      <c r="H41" s="63"/>
      <c r="I41" s="63"/>
      <c r="J41" s="63"/>
      <c r="K41" s="63"/>
      <c r="L41" s="63"/>
      <c r="N41" s="64"/>
      <c r="O41" s="64"/>
      <c r="P41" s="62"/>
      <c r="Q41" s="65"/>
      <c r="S41" s="54"/>
    </row>
    <row r="42" spans="1:19" ht="30" customHeight="1" thickBot="1" x14ac:dyDescent="0.45">
      <c r="A42" s="59"/>
      <c r="B42" s="38"/>
      <c r="C42" s="38"/>
      <c r="D42" s="84"/>
      <c r="E42" s="63"/>
      <c r="F42" s="63"/>
      <c r="G42" s="63"/>
      <c r="H42" s="63"/>
      <c r="I42" s="63"/>
      <c r="J42" s="63"/>
      <c r="K42" s="63"/>
      <c r="L42" s="63"/>
      <c r="N42" s="95" t="s">
        <v>22</v>
      </c>
      <c r="O42" s="95"/>
      <c r="P42" s="95"/>
      <c r="Q42" s="65"/>
      <c r="S42" s="54"/>
    </row>
    <row r="43" spans="1:19" ht="30" customHeight="1" thickTop="1" x14ac:dyDescent="0.3">
      <c r="A43" s="59"/>
      <c r="B43" s="38"/>
      <c r="C43" s="88" t="s">
        <v>22</v>
      </c>
      <c r="D43" s="89"/>
      <c r="E43" s="92" t="str">
        <f ca="1">TEXT(E8, "ddd dd/mm")</f>
        <v>Mon 20/04</v>
      </c>
      <c r="F43" s="92" t="str">
        <f t="shared" ref="F43:K43" ca="1" si="2">TEXT(F8, "ddd dd/mm")</f>
        <v>Tue 21/04</v>
      </c>
      <c r="G43" s="92" t="str">
        <f t="shared" ca="1" si="2"/>
        <v>Wed 22/04</v>
      </c>
      <c r="H43" s="92" t="str">
        <f t="shared" ca="1" si="2"/>
        <v>Thu 23/04</v>
      </c>
      <c r="I43" s="92" t="str">
        <f t="shared" ca="1" si="2"/>
        <v>Fri 24/04</v>
      </c>
      <c r="J43" s="92" t="str">
        <f t="shared" ca="1" si="2"/>
        <v>Sat 25/04</v>
      </c>
      <c r="K43" s="92" t="str">
        <f t="shared" ca="1" si="2"/>
        <v>Sun 26/04</v>
      </c>
      <c r="L43" s="39"/>
      <c r="N43" s="96"/>
      <c r="O43" s="97"/>
      <c r="P43" s="97"/>
      <c r="Q43" s="98"/>
      <c r="S43" s="54"/>
    </row>
    <row r="44" spans="1:19" ht="30" customHeight="1" x14ac:dyDescent="0.3">
      <c r="A44" s="59"/>
      <c r="B44" s="38"/>
      <c r="C44" s="90"/>
      <c r="D44" s="91"/>
      <c r="E44" s="93"/>
      <c r="F44" s="93"/>
      <c r="G44" s="93"/>
      <c r="H44" s="93"/>
      <c r="I44" s="93"/>
      <c r="J44" s="93"/>
      <c r="K44" s="93"/>
      <c r="L44" s="41"/>
      <c r="N44" s="96"/>
      <c r="O44" s="97"/>
      <c r="P44" s="97"/>
      <c r="Q44" s="98"/>
      <c r="S44" s="54"/>
    </row>
    <row r="45" spans="1:19" ht="30" customHeight="1" x14ac:dyDescent="0.3">
      <c r="A45" s="59"/>
      <c r="B45" s="38"/>
      <c r="C45" s="42"/>
      <c r="D45" s="43"/>
      <c r="E45" s="86"/>
      <c r="F45" s="86"/>
      <c r="G45" s="86"/>
      <c r="H45" s="86"/>
      <c r="I45" s="86"/>
      <c r="J45" s="86"/>
      <c r="K45" s="86"/>
      <c r="L45" s="66"/>
      <c r="N45" s="96"/>
      <c r="O45" s="97"/>
      <c r="P45" s="97"/>
      <c r="Q45" s="98"/>
      <c r="S45" s="54"/>
    </row>
    <row r="46" spans="1:19" ht="30" customHeight="1" x14ac:dyDescent="0.3">
      <c r="A46" s="59"/>
      <c r="B46" s="38"/>
      <c r="C46" s="42"/>
      <c r="D46" s="43"/>
      <c r="E46" s="86"/>
      <c r="F46" s="86"/>
      <c r="G46" s="86"/>
      <c r="H46" s="86"/>
      <c r="I46" s="86"/>
      <c r="J46" s="86"/>
      <c r="K46" s="86"/>
      <c r="L46" s="44"/>
      <c r="N46" s="96"/>
      <c r="O46" s="97"/>
      <c r="P46" s="97"/>
      <c r="Q46" s="98"/>
      <c r="S46" s="54"/>
    </row>
    <row r="47" spans="1:19" ht="30" customHeight="1" x14ac:dyDescent="0.3">
      <c r="A47" s="59"/>
      <c r="B47" s="38"/>
      <c r="C47" s="42"/>
      <c r="D47" s="43"/>
      <c r="E47" s="86"/>
      <c r="F47" s="86"/>
      <c r="G47" s="86"/>
      <c r="H47" s="86"/>
      <c r="I47" s="86"/>
      <c r="J47" s="86"/>
      <c r="K47" s="86"/>
      <c r="L47" s="45"/>
      <c r="N47" s="96"/>
      <c r="O47" s="97"/>
      <c r="P47" s="97"/>
      <c r="Q47" s="98"/>
      <c r="S47" s="54"/>
    </row>
    <row r="48" spans="1:19" ht="30" customHeight="1" x14ac:dyDescent="0.3">
      <c r="A48" s="59"/>
      <c r="B48" s="38"/>
      <c r="C48" s="42"/>
      <c r="D48" s="43"/>
      <c r="E48" s="86"/>
      <c r="F48" s="86"/>
      <c r="G48" s="86"/>
      <c r="H48" s="86"/>
      <c r="I48" s="86"/>
      <c r="J48" s="86"/>
      <c r="K48" s="86"/>
      <c r="L48" s="44"/>
      <c r="N48" s="96"/>
      <c r="O48" s="97"/>
      <c r="P48" s="97"/>
      <c r="Q48" s="98"/>
      <c r="S48" s="54"/>
    </row>
    <row r="49" spans="1:21" ht="30" customHeight="1" x14ac:dyDescent="0.3">
      <c r="A49" s="59"/>
      <c r="B49" s="38"/>
      <c r="C49" s="42"/>
      <c r="D49" s="43"/>
      <c r="E49" s="86"/>
      <c r="F49" s="86"/>
      <c r="G49" s="86"/>
      <c r="H49" s="86"/>
      <c r="I49" s="86"/>
      <c r="J49" s="86"/>
      <c r="K49" s="86"/>
      <c r="L49" s="45"/>
      <c r="N49" s="96"/>
      <c r="O49" s="97"/>
      <c r="P49" s="97"/>
      <c r="Q49" s="98"/>
      <c r="S49" s="54"/>
    </row>
    <row r="50" spans="1:21" ht="30" customHeight="1" x14ac:dyDescent="0.3">
      <c r="A50" s="59"/>
      <c r="B50" s="38"/>
      <c r="C50" s="42"/>
      <c r="D50" s="43"/>
      <c r="E50" s="86"/>
      <c r="F50" s="86"/>
      <c r="G50" s="86"/>
      <c r="H50" s="86"/>
      <c r="I50" s="86"/>
      <c r="J50" s="86"/>
      <c r="K50" s="86"/>
      <c r="L50" s="44"/>
      <c r="N50" s="96"/>
      <c r="O50" s="97"/>
      <c r="P50" s="97"/>
      <c r="Q50" s="98"/>
      <c r="S50" s="54"/>
    </row>
    <row r="51" spans="1:21" ht="30" customHeight="1" x14ac:dyDescent="0.3">
      <c r="A51" s="59"/>
      <c r="B51" s="38"/>
      <c r="C51" s="42"/>
      <c r="D51" s="43"/>
      <c r="E51" s="86"/>
      <c r="F51" s="86"/>
      <c r="G51" s="86"/>
      <c r="H51" s="86"/>
      <c r="I51" s="86"/>
      <c r="J51" s="86"/>
      <c r="K51" s="86"/>
      <c r="L51" s="45"/>
      <c r="N51" s="96"/>
      <c r="O51" s="97"/>
      <c r="P51" s="97"/>
      <c r="Q51" s="98"/>
      <c r="S51" s="54"/>
    </row>
    <row r="52" spans="1:21" ht="30" customHeight="1" x14ac:dyDescent="0.3">
      <c r="A52" s="59"/>
      <c r="B52" s="38"/>
      <c r="C52" s="42"/>
      <c r="D52" s="43"/>
      <c r="E52" s="86"/>
      <c r="F52" s="86"/>
      <c r="G52" s="86"/>
      <c r="H52" s="86"/>
      <c r="I52" s="86"/>
      <c r="J52" s="86"/>
      <c r="K52" s="86"/>
      <c r="L52" s="46"/>
      <c r="N52" s="96"/>
      <c r="O52" s="97"/>
      <c r="P52" s="97"/>
      <c r="Q52" s="98"/>
      <c r="S52" s="54"/>
    </row>
    <row r="53" spans="1:21" ht="30" customHeight="1" x14ac:dyDescent="0.3">
      <c r="A53" s="59"/>
      <c r="B53" s="38"/>
      <c r="C53" s="42"/>
      <c r="D53" s="43"/>
      <c r="E53" s="86"/>
      <c r="F53" s="86"/>
      <c r="G53" s="86"/>
      <c r="H53" s="86"/>
      <c r="I53" s="86"/>
      <c r="J53" s="86"/>
      <c r="K53" s="86"/>
      <c r="L53" s="46"/>
      <c r="N53" s="96"/>
      <c r="O53" s="97"/>
      <c r="P53" s="97"/>
      <c r="Q53" s="98"/>
      <c r="S53" s="54"/>
    </row>
    <row r="54" spans="1:21" ht="30" customHeight="1" thickBot="1" x14ac:dyDescent="0.35">
      <c r="A54" s="59"/>
      <c r="B54" s="38"/>
      <c r="C54" s="47"/>
      <c r="D54" s="48"/>
      <c r="E54" s="87"/>
      <c r="F54" s="87"/>
      <c r="G54" s="87"/>
      <c r="H54" s="87"/>
      <c r="I54" s="87"/>
      <c r="J54" s="87"/>
      <c r="K54" s="87"/>
      <c r="L54" s="49"/>
      <c r="N54" s="96"/>
      <c r="O54" s="97"/>
      <c r="P54" s="97"/>
      <c r="Q54" s="98"/>
      <c r="S54" s="54"/>
    </row>
    <row r="55" spans="1:21" ht="30" customHeight="1" thickTop="1" x14ac:dyDescent="0.3">
      <c r="A55" s="59"/>
      <c r="B55" s="38"/>
      <c r="C55" s="38"/>
      <c r="D55" s="63"/>
      <c r="E55" s="63"/>
      <c r="F55" s="63"/>
      <c r="G55" s="63"/>
      <c r="H55" s="63"/>
      <c r="I55" s="63"/>
      <c r="J55" s="63"/>
      <c r="K55" s="63"/>
      <c r="L55" s="63"/>
      <c r="N55" s="64"/>
      <c r="O55" s="64"/>
      <c r="P55" s="62"/>
      <c r="Q55" s="65"/>
      <c r="S55" s="54"/>
    </row>
    <row r="56" spans="1:21" ht="30" customHeight="1" thickBot="1" x14ac:dyDescent="0.45">
      <c r="A56" s="59"/>
      <c r="B56" s="38"/>
      <c r="C56" s="38"/>
      <c r="D56" s="84"/>
      <c r="E56" s="63"/>
      <c r="F56" s="63"/>
      <c r="G56" s="63"/>
      <c r="H56" s="63"/>
      <c r="I56" s="63"/>
      <c r="J56" s="63"/>
      <c r="K56" s="63"/>
      <c r="L56" s="63"/>
      <c r="N56" s="95" t="s">
        <v>23</v>
      </c>
      <c r="O56" s="95"/>
      <c r="P56" s="95"/>
      <c r="Q56" s="65"/>
      <c r="S56" s="54"/>
    </row>
    <row r="57" spans="1:21" ht="30" customHeight="1" thickTop="1" x14ac:dyDescent="0.3">
      <c r="A57" s="59"/>
      <c r="B57" s="38"/>
      <c r="C57" s="88" t="s">
        <v>23</v>
      </c>
      <c r="D57" s="89"/>
      <c r="E57" s="79" t="str">
        <f ca="1">TEXT(E9, "ddd dd/mm")</f>
        <v>Mon 27/04</v>
      </c>
      <c r="F57" s="79" t="str">
        <f t="shared" ref="F57:H57" ca="1" si="3">TEXT(F9, "ddd dd/mm")</f>
        <v>Tue 28/04</v>
      </c>
      <c r="G57" s="79" t="str">
        <f t="shared" ca="1" si="3"/>
        <v>Wed 29/04</v>
      </c>
      <c r="H57" s="79" t="str">
        <f t="shared" ca="1" si="3"/>
        <v>Thu 30/04</v>
      </c>
      <c r="I57" s="79"/>
      <c r="J57" s="79"/>
      <c r="K57" s="79"/>
      <c r="L57" s="39"/>
      <c r="N57" s="96"/>
      <c r="O57" s="97"/>
      <c r="P57" s="97"/>
      <c r="Q57" s="98"/>
      <c r="S57" s="54"/>
    </row>
    <row r="58" spans="1:21" ht="30" customHeight="1" x14ac:dyDescent="0.3">
      <c r="A58" s="59"/>
      <c r="B58" s="38"/>
      <c r="C58" s="90"/>
      <c r="D58" s="91"/>
      <c r="E58" s="80"/>
      <c r="F58" s="80"/>
      <c r="G58" s="80"/>
      <c r="H58" s="80"/>
      <c r="I58" s="80"/>
      <c r="J58" s="80"/>
      <c r="K58" s="80"/>
      <c r="L58" s="41"/>
      <c r="N58" s="96"/>
      <c r="O58" s="97"/>
      <c r="P58" s="97"/>
      <c r="Q58" s="98"/>
      <c r="R58" s="3"/>
      <c r="S58" s="54"/>
      <c r="T58" s="3"/>
      <c r="U58" s="3"/>
    </row>
    <row r="59" spans="1:21" ht="30" customHeight="1" x14ac:dyDescent="0.3">
      <c r="A59" s="59"/>
      <c r="B59" s="38"/>
      <c r="C59" s="42"/>
      <c r="D59" s="43"/>
      <c r="E59" s="86"/>
      <c r="F59" s="86"/>
      <c r="G59" s="86"/>
      <c r="H59" s="86"/>
      <c r="I59" s="86"/>
      <c r="J59" s="86"/>
      <c r="K59" s="86"/>
      <c r="L59" s="66"/>
      <c r="N59" s="96"/>
      <c r="O59" s="97"/>
      <c r="P59" s="97"/>
      <c r="Q59" s="98"/>
      <c r="S59" s="54"/>
    </row>
    <row r="60" spans="1:21" ht="30" customHeight="1" x14ac:dyDescent="0.3">
      <c r="A60" s="59"/>
      <c r="B60" s="38"/>
      <c r="C60" s="42"/>
      <c r="D60" s="43"/>
      <c r="E60" s="86"/>
      <c r="F60" s="86"/>
      <c r="G60" s="86"/>
      <c r="H60" s="86"/>
      <c r="I60" s="86"/>
      <c r="J60" s="86"/>
      <c r="K60" s="86"/>
      <c r="L60" s="44"/>
      <c r="N60" s="96"/>
      <c r="O60" s="97"/>
      <c r="P60" s="97"/>
      <c r="Q60" s="98"/>
      <c r="S60" s="54"/>
    </row>
    <row r="61" spans="1:21" ht="30" customHeight="1" x14ac:dyDescent="0.3">
      <c r="A61" s="59"/>
      <c r="B61" s="38"/>
      <c r="C61" s="42"/>
      <c r="D61" s="43"/>
      <c r="E61" s="86"/>
      <c r="F61" s="86"/>
      <c r="G61" s="86"/>
      <c r="H61" s="86"/>
      <c r="I61" s="86"/>
      <c r="J61" s="86"/>
      <c r="K61" s="86"/>
      <c r="L61" s="45"/>
      <c r="N61" s="96"/>
      <c r="O61" s="97"/>
      <c r="P61" s="97"/>
      <c r="Q61" s="98"/>
      <c r="S61" s="54"/>
    </row>
    <row r="62" spans="1:21" ht="30" customHeight="1" x14ac:dyDescent="0.3">
      <c r="A62" s="59"/>
      <c r="B62" s="38"/>
      <c r="C62" s="42"/>
      <c r="D62" s="43"/>
      <c r="E62" s="86"/>
      <c r="F62" s="86"/>
      <c r="G62" s="86"/>
      <c r="H62" s="86"/>
      <c r="I62" s="86"/>
      <c r="J62" s="86"/>
      <c r="K62" s="86"/>
      <c r="L62" s="44"/>
      <c r="N62" s="96"/>
      <c r="O62" s="97"/>
      <c r="P62" s="97"/>
      <c r="Q62" s="98"/>
      <c r="S62" s="54"/>
    </row>
    <row r="63" spans="1:21" ht="30" customHeight="1" x14ac:dyDescent="0.3">
      <c r="A63" s="59"/>
      <c r="B63" s="38"/>
      <c r="C63" s="42"/>
      <c r="D63" s="43"/>
      <c r="E63" s="86"/>
      <c r="F63" s="86"/>
      <c r="G63" s="86"/>
      <c r="H63" s="86"/>
      <c r="I63" s="86"/>
      <c r="J63" s="86"/>
      <c r="K63" s="86"/>
      <c r="L63" s="45"/>
      <c r="N63" s="96"/>
      <c r="O63" s="97"/>
      <c r="P63" s="97"/>
      <c r="Q63" s="98"/>
      <c r="S63" s="54"/>
    </row>
    <row r="64" spans="1:21" ht="30" customHeight="1" x14ac:dyDescent="0.3">
      <c r="A64" s="59"/>
      <c r="B64" s="38"/>
      <c r="C64" s="42"/>
      <c r="D64" s="43"/>
      <c r="E64" s="86"/>
      <c r="F64" s="86"/>
      <c r="G64" s="86"/>
      <c r="H64" s="86"/>
      <c r="I64" s="86"/>
      <c r="J64" s="86"/>
      <c r="K64" s="86"/>
      <c r="L64" s="44"/>
      <c r="N64" s="96"/>
      <c r="O64" s="97"/>
      <c r="P64" s="97"/>
      <c r="Q64" s="98"/>
      <c r="S64" s="54"/>
    </row>
    <row r="65" spans="1:19" ht="30" customHeight="1" x14ac:dyDescent="0.3">
      <c r="A65" s="59"/>
      <c r="B65" s="38"/>
      <c r="C65" s="42"/>
      <c r="D65" s="43"/>
      <c r="E65" s="86"/>
      <c r="F65" s="86"/>
      <c r="G65" s="86"/>
      <c r="H65" s="86"/>
      <c r="I65" s="86"/>
      <c r="J65" s="86"/>
      <c r="K65" s="86"/>
      <c r="L65" s="45"/>
      <c r="N65" s="96"/>
      <c r="O65" s="97"/>
      <c r="P65" s="97"/>
      <c r="Q65" s="98"/>
      <c r="S65" s="54"/>
    </row>
    <row r="66" spans="1:19" ht="30" customHeight="1" x14ac:dyDescent="0.3">
      <c r="A66" s="59"/>
      <c r="B66" s="38"/>
      <c r="C66" s="42"/>
      <c r="D66" s="43"/>
      <c r="E66" s="86"/>
      <c r="F66" s="86"/>
      <c r="G66" s="86"/>
      <c r="H66" s="86"/>
      <c r="I66" s="86"/>
      <c r="J66" s="86"/>
      <c r="K66" s="86"/>
      <c r="L66" s="46"/>
      <c r="N66" s="96"/>
      <c r="O66" s="97"/>
      <c r="P66" s="97"/>
      <c r="Q66" s="98"/>
      <c r="S66" s="54"/>
    </row>
    <row r="67" spans="1:19" ht="30" customHeight="1" x14ac:dyDescent="0.3">
      <c r="A67" s="59"/>
      <c r="B67" s="38"/>
      <c r="C67" s="42"/>
      <c r="D67" s="43"/>
      <c r="E67" s="86"/>
      <c r="F67" s="86"/>
      <c r="G67" s="86"/>
      <c r="H67" s="86"/>
      <c r="I67" s="86"/>
      <c r="J67" s="86"/>
      <c r="K67" s="86"/>
      <c r="L67" s="46"/>
      <c r="N67" s="96"/>
      <c r="O67" s="97"/>
      <c r="P67" s="97"/>
      <c r="Q67" s="98"/>
      <c r="S67" s="54"/>
    </row>
    <row r="68" spans="1:19" ht="30" customHeight="1" thickBot="1" x14ac:dyDescent="0.35">
      <c r="A68" s="59"/>
      <c r="B68" s="38"/>
      <c r="C68" s="47"/>
      <c r="D68" s="48"/>
      <c r="E68" s="87"/>
      <c r="F68" s="87"/>
      <c r="G68" s="87"/>
      <c r="H68" s="87"/>
      <c r="I68" s="87"/>
      <c r="J68" s="87"/>
      <c r="K68" s="87"/>
      <c r="L68" s="49"/>
      <c r="N68" s="96"/>
      <c r="O68" s="97"/>
      <c r="P68" s="97"/>
      <c r="Q68" s="98"/>
      <c r="S68" s="54"/>
    </row>
    <row r="69" spans="1:19" ht="30" customHeight="1" thickTop="1" x14ac:dyDescent="0.3">
      <c r="A69" s="59"/>
      <c r="B69" s="38"/>
      <c r="C69" s="38"/>
      <c r="D69" s="63"/>
      <c r="E69" s="63"/>
      <c r="F69" s="63"/>
      <c r="G69" s="63"/>
      <c r="H69" s="63"/>
      <c r="I69" s="63"/>
      <c r="J69" s="63"/>
      <c r="K69" s="63"/>
      <c r="L69" s="63"/>
      <c r="N69" s="64"/>
      <c r="O69" s="64"/>
      <c r="P69" s="62"/>
      <c r="Q69" s="65"/>
      <c r="S69" s="54"/>
    </row>
    <row r="70" spans="1:19" ht="30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6"/>
      <c r="O70" s="56"/>
      <c r="P70" s="54"/>
      <c r="Q70" s="57"/>
      <c r="R70" s="54"/>
      <c r="S70" s="54"/>
    </row>
    <row r="71" spans="1:19" ht="30" customHeight="1" x14ac:dyDescent="0.25">
      <c r="D71" s="85"/>
    </row>
  </sheetData>
  <sheetProtection sheet="1" objects="1" scenarios="1" selectLockedCells="1"/>
  <dataConsolidate/>
  <mergeCells count="78">
    <mergeCell ref="N67:Q67"/>
    <mergeCell ref="N68:Q68"/>
    <mergeCell ref="C15:D16"/>
    <mergeCell ref="C29:D30"/>
    <mergeCell ref="C43:D44"/>
    <mergeCell ref="C57:D58"/>
    <mergeCell ref="N62:Q62"/>
    <mergeCell ref="N63:Q63"/>
    <mergeCell ref="N64:Q64"/>
    <mergeCell ref="N65:Q65"/>
    <mergeCell ref="N66:Q66"/>
    <mergeCell ref="N57:Q57"/>
    <mergeCell ref="N58:Q58"/>
    <mergeCell ref="N59:Q59"/>
    <mergeCell ref="N60:Q60"/>
    <mergeCell ref="N61:Q61"/>
    <mergeCell ref="N50:Q50"/>
    <mergeCell ref="N51:Q51"/>
    <mergeCell ref="N52:Q52"/>
    <mergeCell ref="N53:Q53"/>
    <mergeCell ref="N54:Q54"/>
    <mergeCell ref="N45:Q45"/>
    <mergeCell ref="N46:Q46"/>
    <mergeCell ref="N47:Q47"/>
    <mergeCell ref="N48:Q48"/>
    <mergeCell ref="N49:Q49"/>
    <mergeCell ref="N38:Q38"/>
    <mergeCell ref="N39:Q39"/>
    <mergeCell ref="N40:Q40"/>
    <mergeCell ref="N43:Q43"/>
    <mergeCell ref="N44:Q44"/>
    <mergeCell ref="N33:Q33"/>
    <mergeCell ref="N34:Q34"/>
    <mergeCell ref="N35:Q35"/>
    <mergeCell ref="N36:Q36"/>
    <mergeCell ref="N37:Q37"/>
    <mergeCell ref="N26:Q26"/>
    <mergeCell ref="N29:Q29"/>
    <mergeCell ref="N30:Q30"/>
    <mergeCell ref="N31:Q31"/>
    <mergeCell ref="N32:Q32"/>
    <mergeCell ref="N21:Q21"/>
    <mergeCell ref="N22:Q22"/>
    <mergeCell ref="N23:Q23"/>
    <mergeCell ref="N24:Q24"/>
    <mergeCell ref="N25:Q25"/>
    <mergeCell ref="D5:D6"/>
    <mergeCell ref="N14:P14"/>
    <mergeCell ref="J15:J16"/>
    <mergeCell ref="K15:K16"/>
    <mergeCell ref="E29:E30"/>
    <mergeCell ref="F29:F30"/>
    <mergeCell ref="G29:G30"/>
    <mergeCell ref="H29:H30"/>
    <mergeCell ref="I29:I30"/>
    <mergeCell ref="J29:J30"/>
    <mergeCell ref="E15:E16"/>
    <mergeCell ref="F15:F16"/>
    <mergeCell ref="N15:Q15"/>
    <mergeCell ref="N16:Q16"/>
    <mergeCell ref="N17:Q17"/>
    <mergeCell ref="N18:Q18"/>
    <mergeCell ref="G15:G16"/>
    <mergeCell ref="H15:H16"/>
    <mergeCell ref="I15:I16"/>
    <mergeCell ref="N56:P56"/>
    <mergeCell ref="E43:E44"/>
    <mergeCell ref="F43:F44"/>
    <mergeCell ref="G43:G44"/>
    <mergeCell ref="H43:H44"/>
    <mergeCell ref="I43:I44"/>
    <mergeCell ref="J43:J44"/>
    <mergeCell ref="N42:P42"/>
    <mergeCell ref="K43:K44"/>
    <mergeCell ref="N28:P28"/>
    <mergeCell ref="K29:K30"/>
    <mergeCell ref="N19:Q19"/>
    <mergeCell ref="N20:Q20"/>
  </mergeCells>
  <conditionalFormatting sqref="D17:K25">
    <cfRule type="expression" dxfId="178" priority="4">
      <formula>D17&lt;&gt;""</formula>
    </cfRule>
  </conditionalFormatting>
  <conditionalFormatting sqref="D26:K27">
    <cfRule type="expression" dxfId="177" priority="6">
      <formula>COLUMN(#REF!)&gt;2</formula>
    </cfRule>
  </conditionalFormatting>
  <conditionalFormatting sqref="D31:K39">
    <cfRule type="expression" dxfId="176" priority="3">
      <formula>D31&lt;&gt;""</formula>
    </cfRule>
  </conditionalFormatting>
  <conditionalFormatting sqref="D40:K41">
    <cfRule type="expression" dxfId="175" priority="8">
      <formula>COLUMN(#REF!)&gt;2</formula>
    </cfRule>
  </conditionalFormatting>
  <conditionalFormatting sqref="D45:K53">
    <cfRule type="expression" dxfId="174" priority="2">
      <formula>D45&lt;&gt;""</formula>
    </cfRule>
  </conditionalFormatting>
  <conditionalFormatting sqref="D54:K55">
    <cfRule type="expression" dxfId="173" priority="10">
      <formula>COLUMN(#REF!)&gt;2</formula>
    </cfRule>
  </conditionalFormatting>
  <conditionalFormatting sqref="D59:K67">
    <cfRule type="expression" dxfId="172" priority="1">
      <formula>D59&lt;&gt;""</formula>
    </cfRule>
  </conditionalFormatting>
  <conditionalFormatting sqref="D68:K69">
    <cfRule type="expression" dxfId="171" priority="12">
      <formula>COLUMN(#REF!)&gt;2</formula>
    </cfRule>
  </conditionalFormatting>
  <conditionalFormatting sqref="E5:J5">
    <cfRule type="expression" dxfId="170" priority="15" stopIfTrue="1">
      <formula>DAY(E5)&gt;8</formula>
    </cfRule>
  </conditionalFormatting>
  <conditionalFormatting sqref="E4:K10">
    <cfRule type="timePeriod" dxfId="169" priority="13" timePeriod="thisWeek">
      <formula>AND(TODAY()-ROUNDDOWN(E4,0)&lt;=WEEKDAY(TODAY())-1,ROUNDDOWN(E4,0)-TODAY()&lt;=7-WEEKDAY(TODAY()))</formula>
    </cfRule>
  </conditionalFormatting>
  <conditionalFormatting sqref="E5:K10">
    <cfRule type="expression" dxfId="168" priority="16">
      <formula>VLOOKUP(DAY(E5),$O:$O,1,FALSE)=DAY(E5)</formula>
    </cfRule>
  </conditionalFormatting>
  <conditionalFormatting sqref="E9:K10">
    <cfRule type="expression" dxfId="167" priority="14" stopIfTrue="1">
      <formula>AND(DAY(E9)&gt;=1,DAY(E9)&lt;=15)</formula>
    </cfRule>
  </conditionalFormatting>
  <conditionalFormatting sqref="E42:K42 E56:K56">
    <cfRule type="expression" dxfId="166" priority="40">
      <formula>COLUMN(#REF!)&gt;2</formula>
    </cfRule>
  </conditionalFormatting>
  <conditionalFormatting sqref="M6:M11">
    <cfRule type="expression" dxfId="165" priority="39">
      <formula>VLOOKUP(DAY(M6),AssignmentDays,1,FALSE)=DAY(M6)</formula>
    </cfRule>
  </conditionalFormatting>
  <conditionalFormatting sqref="M10:M11">
    <cfRule type="expression" dxfId="164" priority="38" stopIfTrue="1">
      <formula>AND(DAY(M10)&gt;=1,DAY(M10)&lt;=15)</formula>
    </cfRule>
  </conditionalFormatting>
  <conditionalFormatting sqref="R58 T58:U58">
    <cfRule type="expression" dxfId="163" priority="26" stopIfTrue="1">
      <formula>AND(DAY(R58)&gt;=1,DAY(R58)&lt;=15)</formula>
    </cfRule>
    <cfRule type="expression" dxfId="162" priority="37">
      <formula>VLOOKUP(DAY(R58),$O:$O,1,FALSE)=DAY(R58)</formula>
    </cfRule>
  </conditionalFormatting>
  <dataValidations count="10">
    <dataValidation allowBlank="1" showInputMessage="1" showErrorMessage="1" prompt="If this row contains a number less than the previous number or row of numbers, then this row contains dates for the next calendar month" sqref="E10" xr:uid="{533F7F53-85C3-4DEB-BA47-15CB110AE456}"/>
    <dataValidation allowBlank="1" showInputMessage="1" showErrorMessage="1" prompt="Weekdays are in this row, from Monday to Friday" sqref="C43 C29 E15:K15 C15 C57" xr:uid="{96A23666-3D63-47FE-97F9-6C3F90BF68B0}"/>
    <dataValidation allowBlank="1" showInputMessage="1" showErrorMessage="1" prompt="Day of the week goes in this row, starting in cell D16" sqref="A15" xr:uid="{485B1625-C2DF-42EB-AAA4-F30E26C076D3}"/>
    <dataValidation allowBlank="1" showInputMessage="1" showErrorMessage="1" prompt="Calendar year is automatically updated in this cell. To change the calendar year, to go cell D5 in Jan worksheet." sqref="D5:D6" xr:uid="{CDE9DA06-5CCC-4493-88ED-FF0F1DED47E3}"/>
    <dataValidation allowBlank="1" showInputMessage="1" showErrorMessage="1" prompt="Calendar automatically highlights assignment list entries for the month. Darker fonts are assignments. Lighter fonts are days that belong to the previous or next month" sqref="D4" xr:uid="{B02FD2FF-3BC5-47BD-9FFE-FB71BA98DFD7}"/>
    <dataValidation allowBlank="1" showInputMessage="1" showErrorMessage="1" prompt="Enter the assignment details in this column that correspond to the weekday in column N and day in column O for the calendar month at left" sqref="N4" xr:uid="{3B4E9581-036E-4F26-9507-D0AF635B5177}"/>
    <dataValidation allowBlank="1" showInputMessage="1" showErrorMessage="1" prompt="If this cell doesn’t contain the number 1, then it is a day from a previous month. Cells E5:K10 contain dates for the current month" sqref="E5" xr:uid="{C8498EA7-8648-4590-93D6-E36A3D728B4B}"/>
    <dataValidation allowBlank="1" showInputMessage="1" showErrorMessage="1" prompt="Cells E4:K4 contain weekdays" sqref="E4" xr:uid="{DF3C81AF-3A9A-467A-A97B-D8FD588D990D}"/>
    <dataValidation allowBlank="1" showInputMessage="1" showErrorMessage="1" prompt="March calendar. Calendar year is automatically updated based on cell D5 in Jan sheet." sqref="A1" xr:uid="{26AD0941-AACA-4C6F-B80F-B1912C9CDB56}"/>
    <dataValidation allowBlank="1" showInputMessage="1" showErrorMessage="1" prompt="Enter the time of your class and under it, in a new row, the class name for each weekday in columns D to K. Repeat this pattern for all classes in subsequent rows" sqref="D13" xr:uid="{C912C48C-E0D3-49E4-B5A5-7A799CC44455}"/>
  </dataValidations>
  <printOptions horizontalCentered="1" verticalCentered="1"/>
  <pageMargins left="0.25" right="0.25" top="0.5" bottom="0.5" header="0.3" footer="0.3"/>
  <pageSetup scale="25" orientation="landscape" r:id="rId1"/>
  <rowBreaks count="1" manualBreakCount="1">
    <brk id="1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36EA-D5C2-4AD6-A82B-720B850193C1}">
  <sheetPr>
    <tabColor theme="6" tint="0.39997558519241921"/>
    <pageSetUpPr fitToPage="1"/>
  </sheetPr>
  <dimension ref="A1:U84"/>
  <sheetViews>
    <sheetView showGridLines="0" topLeftCell="A15" zoomScale="59" zoomScaleNormal="100" zoomScalePageLayoutView="84" workbookViewId="0">
      <selection activeCell="N15" sqref="N15:Q15"/>
    </sheetView>
  </sheetViews>
  <sheetFormatPr defaultColWidth="8.59765625" defaultRowHeight="30" customHeight="1" x14ac:dyDescent="0.25"/>
  <cols>
    <col min="1" max="2" width="5.59765625" customWidth="1"/>
    <col min="3" max="3" width="2.59765625" customWidth="1"/>
    <col min="4" max="4" width="19.5" customWidth="1"/>
    <col min="5" max="11" width="24.59765625" customWidth="1"/>
    <col min="12" max="12" width="2.59765625" customWidth="1"/>
    <col min="13" max="13" width="5.59765625" style="11" customWidth="1"/>
    <col min="14" max="14" width="12.59765625" style="50" customWidth="1"/>
    <col min="15" max="15" width="5.59765625" style="50" customWidth="1"/>
    <col min="16" max="16" width="2.59765625" customWidth="1"/>
    <col min="17" max="17" width="70.59765625" style="12" customWidth="1"/>
    <col min="18" max="19" width="5.59765625" customWidth="1"/>
  </cols>
  <sheetData>
    <row r="1" spans="1:19" ht="30" customHeight="1" x14ac:dyDescent="0.25">
      <c r="A1" s="54"/>
      <c r="B1" s="54"/>
      <c r="C1" s="54"/>
      <c r="D1" s="55"/>
      <c r="E1" s="54"/>
      <c r="F1" s="54"/>
      <c r="G1" s="54"/>
      <c r="H1" s="54"/>
      <c r="I1" s="54"/>
      <c r="J1" s="54"/>
      <c r="K1" s="54"/>
      <c r="L1" s="54"/>
      <c r="M1" s="60"/>
      <c r="N1" s="56"/>
      <c r="O1" s="56"/>
      <c r="P1" s="54"/>
      <c r="Q1" s="57"/>
      <c r="R1" s="54"/>
      <c r="S1" s="54"/>
    </row>
    <row r="2" spans="1:19" ht="30" customHeight="1" thickBot="1" x14ac:dyDescent="0.3">
      <c r="A2" s="54"/>
      <c r="D2" s="10"/>
      <c r="E2" s="10"/>
      <c r="F2" s="10"/>
      <c r="G2" s="10"/>
      <c r="H2" s="10"/>
      <c r="I2" s="10"/>
      <c r="J2" s="10"/>
      <c r="K2" s="10"/>
      <c r="N2"/>
      <c r="O2"/>
      <c r="S2" s="54"/>
    </row>
    <row r="3" spans="1:19" ht="30" customHeight="1" thickTop="1" x14ac:dyDescent="0.3">
      <c r="A3" s="54"/>
      <c r="C3" s="14"/>
      <c r="D3" s="15"/>
      <c r="E3" s="15"/>
      <c r="F3" s="15"/>
      <c r="G3" s="15"/>
      <c r="H3" s="15"/>
      <c r="I3" s="15"/>
      <c r="J3" s="15"/>
      <c r="K3" s="15"/>
      <c r="L3" s="16"/>
      <c r="N3" s="68"/>
      <c r="O3" s="64"/>
      <c r="P3" s="69"/>
      <c r="Q3" s="70"/>
      <c r="S3" s="54"/>
    </row>
    <row r="4" spans="1:19" ht="35.1" customHeight="1" x14ac:dyDescent="0.25">
      <c r="A4" s="54"/>
      <c r="C4" s="17"/>
      <c r="D4" s="1" t="s">
        <v>12</v>
      </c>
      <c r="E4" s="18" t="s">
        <v>1</v>
      </c>
      <c r="F4" s="18" t="s">
        <v>2</v>
      </c>
      <c r="G4" s="18" t="s">
        <v>3</v>
      </c>
      <c r="H4" s="18" t="s">
        <v>4</v>
      </c>
      <c r="I4" s="18" t="s">
        <v>5</v>
      </c>
      <c r="J4" s="18" t="s">
        <v>6</v>
      </c>
      <c r="K4" s="18" t="s">
        <v>7</v>
      </c>
      <c r="L4" s="19"/>
      <c r="N4" s="71"/>
      <c r="O4" s="69"/>
      <c r="P4" s="69"/>
      <c r="Q4" s="72"/>
      <c r="S4" s="54"/>
    </row>
    <row r="5" spans="1:19" ht="30" customHeight="1" x14ac:dyDescent="0.3">
      <c r="A5" s="58"/>
      <c r="B5" s="21"/>
      <c r="C5" s="22"/>
      <c r="D5" s="94">
        <f ca="1">CalendarYear</f>
        <v>2026</v>
      </c>
      <c r="E5" s="3">
        <f ca="1">IF(DAY(MaySun1)=1,MaySun1-6,MaySun1+1)</f>
        <v>46139</v>
      </c>
      <c r="F5" s="3">
        <f ca="1">IF(DAY(MaySun1)=1,MaySun1-5,MaySun1+2)</f>
        <v>46140</v>
      </c>
      <c r="G5" s="3">
        <f ca="1">IF(DAY(MaySun1)=1,MaySun1-4,MaySun1+3)</f>
        <v>46141</v>
      </c>
      <c r="H5" s="3">
        <f ca="1">IF(DAY(MaySun1)=1,MaySun1-3,MaySun1+4)</f>
        <v>46142</v>
      </c>
      <c r="I5" s="3">
        <f ca="1">IF(DAY(MaySun1)=1,MaySun1-2,MaySun1+5)</f>
        <v>46143</v>
      </c>
      <c r="J5" s="3">
        <f ca="1">IF(DAY(MaySun1)=1,MaySun1-1,MaySun1+6)</f>
        <v>46144</v>
      </c>
      <c r="K5" s="3">
        <f ca="1">IF(DAY(MaySun1)=1,MaySun1,MaySun1+7)</f>
        <v>46145</v>
      </c>
      <c r="L5" s="24"/>
      <c r="M5" s="25"/>
      <c r="N5" s="68"/>
      <c r="O5" s="69"/>
      <c r="P5" s="69"/>
      <c r="Q5" s="70"/>
      <c r="S5" s="54"/>
    </row>
    <row r="6" spans="1:19" ht="30" customHeight="1" x14ac:dyDescent="0.3">
      <c r="A6" s="58"/>
      <c r="B6" s="21"/>
      <c r="C6" s="22"/>
      <c r="D6" s="94"/>
      <c r="E6" s="3">
        <f ca="1">IF(DAY(MaySun1)=1,MaySun1+1,MaySun1+8)</f>
        <v>46146</v>
      </c>
      <c r="F6" s="3">
        <f ca="1">IF(DAY(MaySun1)=1,MaySun1+2,MaySun1+9)</f>
        <v>46147</v>
      </c>
      <c r="G6" s="3">
        <f ca="1">IF(DAY(MaySun1)=1,MaySun1+3,MaySun1+10)</f>
        <v>46148</v>
      </c>
      <c r="H6" s="3">
        <f ca="1">IF(DAY(MaySun1)=1,MaySun1+4,MaySun1+11)</f>
        <v>46149</v>
      </c>
      <c r="I6" s="3">
        <f ca="1">IF(DAY(MaySun1)=1,MaySun1+5,MaySun1+12)</f>
        <v>46150</v>
      </c>
      <c r="J6" s="3">
        <f ca="1">IF(DAY(MaySun1)=1,MaySun1+6,MaySun1+13)</f>
        <v>46151</v>
      </c>
      <c r="K6" s="3">
        <f ca="1">IF(DAY(MaySun1)=1,MaySun1+7,MaySun1+14)</f>
        <v>46152</v>
      </c>
      <c r="L6" s="24"/>
      <c r="M6" s="26"/>
      <c r="N6" s="73"/>
      <c r="O6" s="74"/>
      <c r="P6" s="74"/>
      <c r="Q6" s="70"/>
      <c r="S6" s="54"/>
    </row>
    <row r="7" spans="1:19" ht="30" customHeight="1" x14ac:dyDescent="0.25">
      <c r="A7" s="58"/>
      <c r="B7" s="21"/>
      <c r="C7" s="22"/>
      <c r="D7" s="27"/>
      <c r="E7" s="3">
        <f ca="1">IF(DAY(MaySun1)=1,MaySun1+8,MaySun1+15)</f>
        <v>46153</v>
      </c>
      <c r="F7" s="3">
        <f ca="1">IF(DAY(MaySun1)=1,MaySun1+9,MaySun1+16)</f>
        <v>46154</v>
      </c>
      <c r="G7" s="3">
        <f ca="1">IF(DAY(MaySun1)=1,MaySun1+10,MaySun1+17)</f>
        <v>46155</v>
      </c>
      <c r="H7" s="3">
        <f ca="1">IF(DAY(MaySun1)=1,MaySun1+11,MaySun1+18)</f>
        <v>46156</v>
      </c>
      <c r="I7" s="3">
        <f ca="1">IF(DAY(MaySun1)=1,MaySun1+12,MaySun1+19)</f>
        <v>46157</v>
      </c>
      <c r="J7" s="3">
        <f ca="1">IF(DAY(MaySun1)=1,MaySun1+13,MaySun1+20)</f>
        <v>46158</v>
      </c>
      <c r="K7" s="3">
        <f ca="1">IF(DAY(MaySun1)=1,MaySun1+14,MaySun1+21)</f>
        <v>46159</v>
      </c>
      <c r="L7" s="24"/>
      <c r="M7" s="26"/>
      <c r="N7" s="75"/>
      <c r="O7" s="76"/>
      <c r="P7" s="76"/>
      <c r="Q7" s="70"/>
      <c r="S7" s="54"/>
    </row>
    <row r="8" spans="1:19" ht="30" customHeight="1" x14ac:dyDescent="0.3">
      <c r="A8" s="58"/>
      <c r="B8" s="21"/>
      <c r="C8" s="22"/>
      <c r="D8" s="27"/>
      <c r="E8" s="3">
        <f ca="1">IF(DAY(MaySun1)=1,MaySun1+15,MaySun1+22)</f>
        <v>46160</v>
      </c>
      <c r="F8" s="3">
        <f ca="1">IF(DAY(MaySun1)=1,MaySun1+16,MaySun1+23)</f>
        <v>46161</v>
      </c>
      <c r="G8" s="3">
        <f ca="1">IF(DAY(MaySun1)=1,MaySun1+17,MaySun1+24)</f>
        <v>46162</v>
      </c>
      <c r="H8" s="3">
        <f ca="1">IF(DAY(MaySun1)=1,MaySun1+18,MaySun1+25)</f>
        <v>46163</v>
      </c>
      <c r="I8" s="3">
        <f ca="1">IF(DAY(MaySun1)=1,MaySun1+19,MaySun1+26)</f>
        <v>46164</v>
      </c>
      <c r="J8" s="3">
        <f ca="1">IF(DAY(MaySun1)=1,MaySun1+20,MaySun1+27)</f>
        <v>46165</v>
      </c>
      <c r="K8" s="3">
        <f ca="1">IF(DAY(MaySun1)=1,MaySun1+21,MaySun1+28)</f>
        <v>46166</v>
      </c>
      <c r="L8" s="24"/>
      <c r="M8" s="26"/>
      <c r="N8" s="77"/>
      <c r="O8" s="62"/>
      <c r="P8" s="62"/>
      <c r="Q8" s="70"/>
      <c r="S8" s="54"/>
    </row>
    <row r="9" spans="1:19" ht="30" customHeight="1" x14ac:dyDescent="0.3">
      <c r="A9" s="58"/>
      <c r="B9" s="21"/>
      <c r="C9" s="22"/>
      <c r="D9" s="27"/>
      <c r="E9" s="3">
        <f ca="1">IF(DAY(MaySun1)=1,MaySun1+22,MaySun1+29)</f>
        <v>46167</v>
      </c>
      <c r="F9" s="3">
        <f ca="1">IF(DAY(MaySun1)=1,MaySun1+23,MaySun1+30)</f>
        <v>46168</v>
      </c>
      <c r="G9" s="3">
        <f ca="1">IF(DAY(MaySun1)=1,MaySun1+24,MaySun1+31)</f>
        <v>46169</v>
      </c>
      <c r="H9" s="3">
        <f ca="1">IF(DAY(MaySun1)=1,MaySun1+25,MaySun1+32)</f>
        <v>46170</v>
      </c>
      <c r="I9" s="3">
        <f ca="1">IF(DAY(MaySun1)=1,MaySun1+26,MaySun1+33)</f>
        <v>46171</v>
      </c>
      <c r="J9" s="3">
        <f ca="1">IF(DAY(MaySun1)=1,MaySun1+27,MaySun1+34)</f>
        <v>46172</v>
      </c>
      <c r="K9" s="3">
        <f ca="1">IF(DAY(MaySun1)=1,MaySun1+28,MaySun1+35)</f>
        <v>46173</v>
      </c>
      <c r="L9" s="24"/>
      <c r="M9" s="26"/>
      <c r="N9" s="77"/>
      <c r="O9" s="62"/>
      <c r="P9" s="62"/>
      <c r="Q9" s="70"/>
      <c r="S9" s="54"/>
    </row>
    <row r="10" spans="1:19" ht="30" customHeight="1" x14ac:dyDescent="0.3">
      <c r="A10" s="58"/>
      <c r="B10" s="21"/>
      <c r="C10" s="22"/>
      <c r="D10" s="27"/>
      <c r="E10" s="3">
        <f ca="1">IF(DAY(MaySun1)=1,MaySun1+29,MaySun1+36)</f>
        <v>46174</v>
      </c>
      <c r="F10" s="3">
        <f ca="1">IF(DAY(MaySun1)=1,MaySun1+30,MaySun1+37)</f>
        <v>46175</v>
      </c>
      <c r="G10" s="3">
        <f ca="1">IF(DAY(MaySun1)=1,MaySun1+31,MaySun1+38)</f>
        <v>46176</v>
      </c>
      <c r="H10" s="3">
        <f ca="1">IF(DAY(MaySun1)=1,MaySun1+32,MaySun1+39)</f>
        <v>46177</v>
      </c>
      <c r="I10" s="3">
        <f ca="1">IF(DAY(MaySun1)=1,MaySun1+33,MaySun1+40)</f>
        <v>46178</v>
      </c>
      <c r="J10" s="3">
        <f ca="1">IF(DAY(MaySun1)=1,MaySun1+34,MaySun1+41)</f>
        <v>46179</v>
      </c>
      <c r="K10" s="3">
        <f ca="1">IF(DAY(MaySun1)=1,MaySun1+35,MaySun1+42)</f>
        <v>46180</v>
      </c>
      <c r="L10" s="30"/>
      <c r="M10" s="26"/>
      <c r="N10" s="77"/>
      <c r="O10" s="62"/>
      <c r="P10" s="62"/>
      <c r="Q10" s="78"/>
      <c r="S10" s="54"/>
    </row>
    <row r="11" spans="1:19" ht="30" customHeight="1" thickBot="1" x14ac:dyDescent="0.35">
      <c r="A11" s="58"/>
      <c r="B11" s="21"/>
      <c r="C11" s="31"/>
      <c r="D11" s="10"/>
      <c r="E11" s="10"/>
      <c r="F11" s="10"/>
      <c r="G11" s="10"/>
      <c r="H11" s="10"/>
      <c r="I11" s="10"/>
      <c r="J11" s="10"/>
      <c r="K11" s="10"/>
      <c r="L11" s="32"/>
      <c r="M11" s="33"/>
      <c r="N11" s="77"/>
      <c r="O11" s="62"/>
      <c r="P11" s="62"/>
      <c r="Q11" s="78"/>
      <c r="S11" s="54"/>
    </row>
    <row r="12" spans="1:19" ht="30" customHeight="1" thickTop="1" x14ac:dyDescent="0.25">
      <c r="A12" s="58"/>
      <c r="B12" s="21"/>
      <c r="C12" s="21"/>
      <c r="D12" s="34"/>
      <c r="E12" s="15"/>
      <c r="F12" s="15"/>
      <c r="G12" s="15"/>
      <c r="H12" s="15"/>
      <c r="I12" s="15"/>
      <c r="J12" s="15"/>
      <c r="K12" s="15"/>
      <c r="N12" s="75"/>
      <c r="O12" s="76"/>
      <c r="P12" s="76"/>
      <c r="Q12" s="65"/>
      <c r="S12" s="54"/>
    </row>
    <row r="13" spans="1:19" ht="30" customHeight="1" x14ac:dyDescent="0.25">
      <c r="A13" s="58"/>
      <c r="B13" s="21"/>
      <c r="C13" s="21"/>
      <c r="D13" s="2" t="s">
        <v>8</v>
      </c>
      <c r="E13" s="35"/>
      <c r="F13" s="35"/>
      <c r="G13" s="35"/>
      <c r="H13" s="35"/>
      <c r="I13" s="35"/>
      <c r="J13" s="35"/>
      <c r="K13" s="35"/>
      <c r="N13" s="75"/>
      <c r="O13" s="76"/>
      <c r="P13" s="76"/>
      <c r="Q13" s="65"/>
      <c r="S13" s="58"/>
    </row>
    <row r="14" spans="1:19" ht="30" customHeight="1" thickBot="1" x14ac:dyDescent="0.45">
      <c r="A14" s="58"/>
      <c r="B14" s="21"/>
      <c r="C14" s="21"/>
      <c r="D14" s="84"/>
      <c r="E14" s="37"/>
      <c r="F14" s="37"/>
      <c r="G14" s="37"/>
      <c r="H14" s="37"/>
      <c r="I14" s="37"/>
      <c r="J14" s="37"/>
      <c r="K14" s="37"/>
      <c r="L14" s="37"/>
      <c r="M14" s="36"/>
      <c r="N14" s="95" t="s">
        <v>20</v>
      </c>
      <c r="O14" s="95"/>
      <c r="P14" s="95"/>
      <c r="Q14" s="65"/>
      <c r="S14" s="54"/>
    </row>
    <row r="15" spans="1:19" ht="30" customHeight="1" thickTop="1" x14ac:dyDescent="0.3">
      <c r="A15" s="59"/>
      <c r="B15" s="38"/>
      <c r="C15" s="88" t="s">
        <v>20</v>
      </c>
      <c r="D15" s="89"/>
      <c r="E15" s="92"/>
      <c r="F15" s="92"/>
      <c r="G15" s="92"/>
      <c r="H15" s="92"/>
      <c r="I15" s="92" t="str">
        <f t="shared" ref="I15:K15" ca="1" si="0">TEXT(I5, "ddd dd/mm")</f>
        <v>Fri 01/05</v>
      </c>
      <c r="J15" s="92" t="str">
        <f t="shared" ca="1" si="0"/>
        <v>Sat 02/05</v>
      </c>
      <c r="K15" s="92" t="str">
        <f t="shared" ca="1" si="0"/>
        <v>Sun 03/05</v>
      </c>
      <c r="L15" s="39"/>
      <c r="M15" s="40"/>
      <c r="N15" s="96"/>
      <c r="O15" s="97"/>
      <c r="P15" s="97"/>
      <c r="Q15" s="98"/>
      <c r="S15" s="54"/>
    </row>
    <row r="16" spans="1:19" ht="30" customHeight="1" x14ac:dyDescent="0.3">
      <c r="A16" s="59"/>
      <c r="B16" s="38"/>
      <c r="C16" s="90"/>
      <c r="D16" s="91"/>
      <c r="E16" s="93"/>
      <c r="F16" s="93"/>
      <c r="G16" s="93"/>
      <c r="H16" s="93"/>
      <c r="I16" s="93"/>
      <c r="J16" s="93"/>
      <c r="K16" s="93"/>
      <c r="L16" s="41"/>
      <c r="N16" s="96"/>
      <c r="O16" s="97"/>
      <c r="P16" s="97"/>
      <c r="Q16" s="98"/>
      <c r="S16" s="54"/>
    </row>
    <row r="17" spans="1:19" ht="30" customHeight="1" x14ac:dyDescent="0.3">
      <c r="A17" s="59"/>
      <c r="B17" s="38"/>
      <c r="C17" s="42"/>
      <c r="D17" s="43"/>
      <c r="E17" s="86"/>
      <c r="F17" s="86"/>
      <c r="G17" s="86"/>
      <c r="H17" s="86"/>
      <c r="I17" s="86"/>
      <c r="J17" s="86"/>
      <c r="K17" s="86"/>
      <c r="L17" s="66"/>
      <c r="M17" s="67"/>
      <c r="N17" s="96"/>
      <c r="O17" s="97"/>
      <c r="P17" s="97"/>
      <c r="Q17" s="98"/>
      <c r="S17" s="54"/>
    </row>
    <row r="18" spans="1:19" ht="30" customHeight="1" x14ac:dyDescent="0.3">
      <c r="A18" s="59"/>
      <c r="B18" s="38"/>
      <c r="C18" s="42"/>
      <c r="D18" s="43"/>
      <c r="E18" s="86"/>
      <c r="F18" s="86"/>
      <c r="G18" s="86"/>
      <c r="H18" s="86"/>
      <c r="I18" s="86"/>
      <c r="J18" s="86"/>
      <c r="K18" s="86"/>
      <c r="L18" s="44"/>
      <c r="N18" s="96"/>
      <c r="O18" s="97"/>
      <c r="P18" s="97"/>
      <c r="Q18" s="98"/>
      <c r="S18" s="54"/>
    </row>
    <row r="19" spans="1:19" ht="30" customHeight="1" x14ac:dyDescent="0.3">
      <c r="A19" s="59"/>
      <c r="B19" s="38"/>
      <c r="C19" s="42"/>
      <c r="D19" s="43"/>
      <c r="E19" s="86"/>
      <c r="F19" s="86"/>
      <c r="G19" s="86"/>
      <c r="H19" s="86"/>
      <c r="I19" s="86"/>
      <c r="J19" s="86"/>
      <c r="K19" s="86"/>
      <c r="L19" s="45"/>
      <c r="N19" s="96"/>
      <c r="O19" s="97"/>
      <c r="P19" s="97"/>
      <c r="Q19" s="98"/>
      <c r="S19" s="54"/>
    </row>
    <row r="20" spans="1:19" ht="30" customHeight="1" x14ac:dyDescent="0.3">
      <c r="A20" s="59"/>
      <c r="B20" s="38"/>
      <c r="C20" s="42"/>
      <c r="D20" s="43"/>
      <c r="E20" s="86"/>
      <c r="F20" s="86"/>
      <c r="G20" s="86"/>
      <c r="H20" s="86"/>
      <c r="I20" s="86"/>
      <c r="J20" s="86"/>
      <c r="K20" s="86"/>
      <c r="L20" s="44"/>
      <c r="N20" s="96"/>
      <c r="O20" s="97"/>
      <c r="P20" s="97"/>
      <c r="Q20" s="98"/>
      <c r="S20" s="54"/>
    </row>
    <row r="21" spans="1:19" ht="30" customHeight="1" x14ac:dyDescent="0.3">
      <c r="A21" s="59"/>
      <c r="B21" s="38"/>
      <c r="C21" s="42"/>
      <c r="D21" s="43"/>
      <c r="E21" s="86"/>
      <c r="F21" s="86"/>
      <c r="G21" s="86"/>
      <c r="H21" s="86"/>
      <c r="I21" s="86"/>
      <c r="J21" s="86"/>
      <c r="K21" s="86"/>
      <c r="L21" s="45"/>
      <c r="N21" s="96"/>
      <c r="O21" s="97"/>
      <c r="P21" s="97"/>
      <c r="Q21" s="98"/>
      <c r="S21" s="54"/>
    </row>
    <row r="22" spans="1:19" ht="30" customHeight="1" x14ac:dyDescent="0.3">
      <c r="A22" s="59"/>
      <c r="B22" s="38"/>
      <c r="C22" s="42"/>
      <c r="D22" s="43"/>
      <c r="E22" s="86"/>
      <c r="F22" s="86"/>
      <c r="G22" s="86"/>
      <c r="H22" s="86"/>
      <c r="I22" s="86"/>
      <c r="J22" s="86"/>
      <c r="K22" s="86"/>
      <c r="L22" s="44"/>
      <c r="N22" s="96"/>
      <c r="O22" s="97"/>
      <c r="P22" s="97"/>
      <c r="Q22" s="98"/>
      <c r="S22" s="54"/>
    </row>
    <row r="23" spans="1:19" ht="30" customHeight="1" x14ac:dyDescent="0.3">
      <c r="A23" s="59"/>
      <c r="B23" s="38"/>
      <c r="C23" s="42"/>
      <c r="D23" s="43"/>
      <c r="E23" s="86"/>
      <c r="F23" s="86"/>
      <c r="G23" s="86"/>
      <c r="H23" s="86"/>
      <c r="I23" s="86"/>
      <c r="J23" s="86"/>
      <c r="K23" s="86"/>
      <c r="L23" s="45"/>
      <c r="N23" s="96"/>
      <c r="O23" s="97"/>
      <c r="P23" s="97"/>
      <c r="Q23" s="98"/>
      <c r="S23" s="54"/>
    </row>
    <row r="24" spans="1:19" ht="30" customHeight="1" x14ac:dyDescent="0.3">
      <c r="A24" s="59"/>
      <c r="B24" s="38"/>
      <c r="C24" s="42"/>
      <c r="D24" s="43"/>
      <c r="E24" s="86"/>
      <c r="F24" s="86"/>
      <c r="G24" s="86"/>
      <c r="H24" s="86"/>
      <c r="I24" s="86"/>
      <c r="J24" s="86"/>
      <c r="K24" s="86"/>
      <c r="L24" s="46"/>
      <c r="N24" s="96"/>
      <c r="O24" s="97"/>
      <c r="P24" s="97"/>
      <c r="Q24" s="98"/>
      <c r="S24" s="54"/>
    </row>
    <row r="25" spans="1:19" ht="30" customHeight="1" x14ac:dyDescent="0.3">
      <c r="A25" s="59"/>
      <c r="B25" s="38"/>
      <c r="C25" s="42"/>
      <c r="D25" s="43"/>
      <c r="E25" s="86"/>
      <c r="F25" s="86"/>
      <c r="G25" s="86"/>
      <c r="H25" s="86"/>
      <c r="I25" s="86"/>
      <c r="J25" s="86"/>
      <c r="K25" s="86"/>
      <c r="L25" s="46"/>
      <c r="N25" s="96"/>
      <c r="O25" s="97"/>
      <c r="P25" s="97"/>
      <c r="Q25" s="98"/>
      <c r="S25" s="54"/>
    </row>
    <row r="26" spans="1:19" ht="30" customHeight="1" thickBot="1" x14ac:dyDescent="0.35">
      <c r="A26" s="59"/>
      <c r="B26" s="38"/>
      <c r="C26" s="47"/>
      <c r="D26" s="48"/>
      <c r="E26" s="87"/>
      <c r="F26" s="87"/>
      <c r="G26" s="87"/>
      <c r="H26" s="87"/>
      <c r="I26" s="87"/>
      <c r="J26" s="87"/>
      <c r="K26" s="87"/>
      <c r="L26" s="49"/>
      <c r="N26" s="96"/>
      <c r="O26" s="97"/>
      <c r="P26" s="97"/>
      <c r="Q26" s="98"/>
      <c r="S26" s="54"/>
    </row>
    <row r="27" spans="1:19" ht="30" customHeight="1" thickTop="1" x14ac:dyDescent="0.3">
      <c r="A27" s="59"/>
      <c r="B27" s="38"/>
      <c r="C27" s="38"/>
      <c r="D27" s="63"/>
      <c r="E27" s="63"/>
      <c r="F27" s="63"/>
      <c r="G27" s="63"/>
      <c r="H27" s="63"/>
      <c r="I27" s="63"/>
      <c r="J27" s="63"/>
      <c r="K27" s="63"/>
      <c r="L27" s="63"/>
      <c r="N27" s="64"/>
      <c r="O27" s="64"/>
      <c r="P27" s="62"/>
      <c r="Q27" s="65"/>
      <c r="S27" s="54"/>
    </row>
    <row r="28" spans="1:19" ht="30" customHeight="1" thickBot="1" x14ac:dyDescent="0.45">
      <c r="A28" s="58"/>
      <c r="B28" s="21"/>
      <c r="C28" s="21"/>
      <c r="D28" s="84"/>
      <c r="E28" s="37"/>
      <c r="F28" s="37"/>
      <c r="G28" s="37"/>
      <c r="H28" s="37"/>
      <c r="I28" s="37"/>
      <c r="J28" s="37"/>
      <c r="K28" s="37"/>
      <c r="L28" s="37"/>
      <c r="M28" s="36"/>
      <c r="N28" s="95" t="s">
        <v>21</v>
      </c>
      <c r="O28" s="95"/>
      <c r="P28" s="95"/>
      <c r="Q28" s="65"/>
      <c r="S28" s="54"/>
    </row>
    <row r="29" spans="1:19" ht="30" customHeight="1" thickTop="1" x14ac:dyDescent="0.3">
      <c r="A29" s="59"/>
      <c r="B29" s="38"/>
      <c r="C29" s="88" t="s">
        <v>21</v>
      </c>
      <c r="D29" s="89"/>
      <c r="E29" s="92" t="str">
        <f ca="1">TEXT(E6, "ddd dd/mm")</f>
        <v>Mon 04/05</v>
      </c>
      <c r="F29" s="92" t="str">
        <f t="shared" ref="F29:J29" ca="1" si="1">TEXT(F6, "ddd dd/mm")</f>
        <v>Tue 05/05</v>
      </c>
      <c r="G29" s="92" t="str">
        <f t="shared" ca="1" si="1"/>
        <v>Wed 06/05</v>
      </c>
      <c r="H29" s="92" t="str">
        <f t="shared" ca="1" si="1"/>
        <v>Thu 07/05</v>
      </c>
      <c r="I29" s="92" t="str">
        <f t="shared" ca="1" si="1"/>
        <v>Fri 08/05</v>
      </c>
      <c r="J29" s="92" t="str">
        <f t="shared" ca="1" si="1"/>
        <v>Sat 09/05</v>
      </c>
      <c r="K29" s="92" t="str">
        <f ca="1">TEXT(K6, "ddd dd/mm")</f>
        <v>Sun 10/05</v>
      </c>
      <c r="L29" s="39"/>
      <c r="M29" s="40"/>
      <c r="N29" s="96"/>
      <c r="O29" s="97"/>
      <c r="P29" s="97"/>
      <c r="Q29" s="98"/>
      <c r="S29" s="54"/>
    </row>
    <row r="30" spans="1:19" ht="30" customHeight="1" x14ac:dyDescent="0.3">
      <c r="A30" s="59"/>
      <c r="B30" s="38"/>
      <c r="C30" s="90"/>
      <c r="D30" s="91"/>
      <c r="E30" s="93"/>
      <c r="F30" s="93"/>
      <c r="G30" s="93"/>
      <c r="H30" s="93"/>
      <c r="I30" s="93"/>
      <c r="J30" s="93"/>
      <c r="K30" s="93"/>
      <c r="L30" s="41"/>
      <c r="N30" s="96"/>
      <c r="O30" s="97"/>
      <c r="P30" s="97"/>
      <c r="Q30" s="98"/>
      <c r="S30" s="54"/>
    </row>
    <row r="31" spans="1:19" ht="30" customHeight="1" x14ac:dyDescent="0.3">
      <c r="A31" s="59"/>
      <c r="B31" s="38"/>
      <c r="C31" s="42"/>
      <c r="D31" s="43"/>
      <c r="E31" s="86"/>
      <c r="F31" s="86"/>
      <c r="G31" s="86"/>
      <c r="H31" s="86"/>
      <c r="I31" s="86"/>
      <c r="J31" s="86"/>
      <c r="K31" s="86"/>
      <c r="L31" s="66"/>
      <c r="M31" s="67"/>
      <c r="N31" s="96"/>
      <c r="O31" s="97"/>
      <c r="P31" s="97"/>
      <c r="Q31" s="98"/>
      <c r="S31" s="54"/>
    </row>
    <row r="32" spans="1:19" ht="30" customHeight="1" x14ac:dyDescent="0.3">
      <c r="A32" s="59"/>
      <c r="B32" s="38"/>
      <c r="C32" s="42"/>
      <c r="D32" s="43"/>
      <c r="E32" s="86"/>
      <c r="F32" s="86"/>
      <c r="G32" s="86"/>
      <c r="H32" s="86"/>
      <c r="I32" s="86"/>
      <c r="J32" s="86"/>
      <c r="K32" s="86"/>
      <c r="L32" s="44"/>
      <c r="N32" s="96"/>
      <c r="O32" s="97"/>
      <c r="P32" s="97"/>
      <c r="Q32" s="98"/>
      <c r="S32" s="54"/>
    </row>
    <row r="33" spans="1:19" ht="30" customHeight="1" x14ac:dyDescent="0.3">
      <c r="A33" s="59"/>
      <c r="B33" s="38"/>
      <c r="C33" s="42"/>
      <c r="D33" s="43"/>
      <c r="E33" s="86"/>
      <c r="F33" s="86"/>
      <c r="G33" s="86"/>
      <c r="H33" s="86"/>
      <c r="I33" s="86"/>
      <c r="J33" s="86"/>
      <c r="K33" s="86"/>
      <c r="L33" s="45"/>
      <c r="N33" s="96"/>
      <c r="O33" s="97"/>
      <c r="P33" s="97"/>
      <c r="Q33" s="98"/>
      <c r="S33" s="54"/>
    </row>
    <row r="34" spans="1:19" ht="30" customHeight="1" x14ac:dyDescent="0.3">
      <c r="A34" s="59"/>
      <c r="B34" s="38"/>
      <c r="C34" s="42"/>
      <c r="D34" s="43"/>
      <c r="E34" s="86"/>
      <c r="F34" s="86"/>
      <c r="G34" s="86"/>
      <c r="H34" s="86"/>
      <c r="I34" s="86"/>
      <c r="J34" s="86"/>
      <c r="K34" s="86"/>
      <c r="L34" s="44"/>
      <c r="N34" s="96"/>
      <c r="O34" s="97"/>
      <c r="P34" s="97"/>
      <c r="Q34" s="98"/>
      <c r="S34" s="54"/>
    </row>
    <row r="35" spans="1:19" ht="30" customHeight="1" x14ac:dyDescent="0.3">
      <c r="A35" s="59"/>
      <c r="B35" s="38"/>
      <c r="C35" s="42"/>
      <c r="D35" s="43"/>
      <c r="E35" s="86"/>
      <c r="F35" s="86"/>
      <c r="G35" s="86"/>
      <c r="H35" s="86"/>
      <c r="I35" s="86"/>
      <c r="J35" s="86"/>
      <c r="K35" s="86"/>
      <c r="L35" s="45"/>
      <c r="N35" s="96"/>
      <c r="O35" s="97"/>
      <c r="P35" s="97"/>
      <c r="Q35" s="98"/>
      <c r="S35" s="54"/>
    </row>
    <row r="36" spans="1:19" ht="30" customHeight="1" x14ac:dyDescent="0.3">
      <c r="A36" s="59"/>
      <c r="B36" s="38"/>
      <c r="C36" s="42"/>
      <c r="D36" s="43"/>
      <c r="E36" s="86"/>
      <c r="F36" s="86"/>
      <c r="G36" s="86"/>
      <c r="H36" s="86"/>
      <c r="I36" s="86"/>
      <c r="J36" s="86"/>
      <c r="K36" s="86"/>
      <c r="L36" s="44"/>
      <c r="N36" s="96"/>
      <c r="O36" s="97"/>
      <c r="P36" s="97"/>
      <c r="Q36" s="98"/>
      <c r="S36" s="54"/>
    </row>
    <row r="37" spans="1:19" ht="30" customHeight="1" x14ac:dyDescent="0.3">
      <c r="A37" s="59"/>
      <c r="B37" s="38"/>
      <c r="C37" s="42"/>
      <c r="D37" s="43"/>
      <c r="E37" s="86"/>
      <c r="F37" s="86"/>
      <c r="G37" s="86"/>
      <c r="H37" s="86"/>
      <c r="I37" s="86"/>
      <c r="J37" s="86"/>
      <c r="K37" s="86"/>
      <c r="L37" s="45"/>
      <c r="N37" s="96"/>
      <c r="O37" s="97"/>
      <c r="P37" s="97"/>
      <c r="Q37" s="98"/>
      <c r="S37" s="54"/>
    </row>
    <row r="38" spans="1:19" ht="30" customHeight="1" x14ac:dyDescent="0.3">
      <c r="A38" s="59"/>
      <c r="B38" s="38"/>
      <c r="C38" s="42"/>
      <c r="D38" s="43"/>
      <c r="E38" s="86"/>
      <c r="F38" s="86"/>
      <c r="G38" s="86"/>
      <c r="H38" s="86"/>
      <c r="I38" s="86"/>
      <c r="J38" s="86"/>
      <c r="K38" s="86"/>
      <c r="L38" s="46"/>
      <c r="N38" s="96"/>
      <c r="O38" s="97"/>
      <c r="P38" s="97"/>
      <c r="Q38" s="98"/>
      <c r="S38" s="54"/>
    </row>
    <row r="39" spans="1:19" ht="30" customHeight="1" x14ac:dyDescent="0.3">
      <c r="A39" s="59"/>
      <c r="B39" s="38"/>
      <c r="C39" s="42"/>
      <c r="D39" s="43"/>
      <c r="E39" s="86"/>
      <c r="F39" s="86"/>
      <c r="G39" s="86"/>
      <c r="H39" s="86"/>
      <c r="I39" s="86"/>
      <c r="J39" s="86"/>
      <c r="K39" s="86"/>
      <c r="L39" s="46"/>
      <c r="N39" s="96"/>
      <c r="O39" s="97"/>
      <c r="P39" s="97"/>
      <c r="Q39" s="98"/>
      <c r="S39" s="54"/>
    </row>
    <row r="40" spans="1:19" ht="30" customHeight="1" thickBot="1" x14ac:dyDescent="0.35">
      <c r="A40" s="59"/>
      <c r="B40" s="38"/>
      <c r="C40" s="47"/>
      <c r="D40" s="48"/>
      <c r="E40" s="87"/>
      <c r="F40" s="87"/>
      <c r="G40" s="87"/>
      <c r="H40" s="87"/>
      <c r="I40" s="87"/>
      <c r="J40" s="87"/>
      <c r="K40" s="87"/>
      <c r="L40" s="49"/>
      <c r="N40" s="96"/>
      <c r="O40" s="97"/>
      <c r="P40" s="97"/>
      <c r="Q40" s="98"/>
      <c r="S40" s="54"/>
    </row>
    <row r="41" spans="1:19" ht="30" customHeight="1" thickTop="1" x14ac:dyDescent="0.3">
      <c r="A41" s="59"/>
      <c r="B41" s="38"/>
      <c r="C41" s="38"/>
      <c r="D41" s="63"/>
      <c r="E41" s="63"/>
      <c r="F41" s="63"/>
      <c r="G41" s="63"/>
      <c r="H41" s="63"/>
      <c r="I41" s="63"/>
      <c r="J41" s="63"/>
      <c r="K41" s="63"/>
      <c r="L41" s="63"/>
      <c r="N41" s="64"/>
      <c r="O41" s="64"/>
      <c r="P41" s="62"/>
      <c r="Q41" s="65"/>
      <c r="S41" s="54"/>
    </row>
    <row r="42" spans="1:19" ht="30" customHeight="1" thickBot="1" x14ac:dyDescent="0.45">
      <c r="A42" s="59"/>
      <c r="B42" s="38"/>
      <c r="C42" s="38"/>
      <c r="D42" s="84"/>
      <c r="E42" s="37"/>
      <c r="F42" s="37"/>
      <c r="G42" s="37"/>
      <c r="H42" s="37"/>
      <c r="I42" s="37"/>
      <c r="J42" s="37"/>
      <c r="K42" s="37"/>
      <c r="L42" s="48"/>
      <c r="N42" s="95" t="s">
        <v>22</v>
      </c>
      <c r="O42" s="95"/>
      <c r="P42" s="95"/>
      <c r="Q42" s="65"/>
      <c r="S42" s="54"/>
    </row>
    <row r="43" spans="1:19" ht="30" customHeight="1" thickTop="1" x14ac:dyDescent="0.3">
      <c r="A43" s="59"/>
      <c r="B43" s="38"/>
      <c r="C43" s="88" t="s">
        <v>22</v>
      </c>
      <c r="D43" s="89"/>
      <c r="E43" s="92" t="str">
        <f ca="1">TEXT(E7, "ddd dd/mm")</f>
        <v>Mon 11/05</v>
      </c>
      <c r="F43" s="92" t="str">
        <f t="shared" ref="F43:K43" ca="1" si="2">TEXT(F7, "ddd dd/mm")</f>
        <v>Tue 12/05</v>
      </c>
      <c r="G43" s="92" t="str">
        <f t="shared" ca="1" si="2"/>
        <v>Wed 13/05</v>
      </c>
      <c r="H43" s="92" t="str">
        <f t="shared" ca="1" si="2"/>
        <v>Thu 14/05</v>
      </c>
      <c r="I43" s="92" t="str">
        <f t="shared" ca="1" si="2"/>
        <v>Fri 15/05</v>
      </c>
      <c r="J43" s="92" t="str">
        <f t="shared" ca="1" si="2"/>
        <v>Sat 16/05</v>
      </c>
      <c r="K43" s="92" t="str">
        <f t="shared" ca="1" si="2"/>
        <v>Sun 17/05</v>
      </c>
      <c r="L43" s="39"/>
      <c r="N43" s="96"/>
      <c r="O43" s="97"/>
      <c r="P43" s="97"/>
      <c r="Q43" s="98"/>
      <c r="S43" s="54"/>
    </row>
    <row r="44" spans="1:19" ht="30" customHeight="1" x14ac:dyDescent="0.3">
      <c r="A44" s="59"/>
      <c r="B44" s="38"/>
      <c r="C44" s="90"/>
      <c r="D44" s="91"/>
      <c r="E44" s="93"/>
      <c r="F44" s="93"/>
      <c r="G44" s="93"/>
      <c r="H44" s="93"/>
      <c r="I44" s="93"/>
      <c r="J44" s="93"/>
      <c r="K44" s="93"/>
      <c r="L44" s="41"/>
      <c r="N44" s="96"/>
      <c r="O44" s="97"/>
      <c r="P44" s="97"/>
      <c r="Q44" s="98"/>
      <c r="S44" s="54"/>
    </row>
    <row r="45" spans="1:19" ht="30" customHeight="1" x14ac:dyDescent="0.3">
      <c r="A45" s="59"/>
      <c r="B45" s="38"/>
      <c r="C45" s="42"/>
      <c r="D45" s="43"/>
      <c r="E45" s="86"/>
      <c r="F45" s="86"/>
      <c r="G45" s="86"/>
      <c r="H45" s="86"/>
      <c r="I45" s="86"/>
      <c r="J45" s="86"/>
      <c r="K45" s="86"/>
      <c r="L45" s="66"/>
      <c r="N45" s="96"/>
      <c r="O45" s="97"/>
      <c r="P45" s="97"/>
      <c r="Q45" s="98"/>
      <c r="S45" s="54"/>
    </row>
    <row r="46" spans="1:19" ht="30" customHeight="1" x14ac:dyDescent="0.3">
      <c r="A46" s="59"/>
      <c r="B46" s="38"/>
      <c r="C46" s="42"/>
      <c r="D46" s="43"/>
      <c r="E46" s="86"/>
      <c r="F46" s="86"/>
      <c r="G46" s="86"/>
      <c r="H46" s="86"/>
      <c r="I46" s="86"/>
      <c r="J46" s="86"/>
      <c r="K46" s="86"/>
      <c r="L46" s="44"/>
      <c r="N46" s="96"/>
      <c r="O46" s="97"/>
      <c r="P46" s="97"/>
      <c r="Q46" s="98"/>
      <c r="S46" s="54"/>
    </row>
    <row r="47" spans="1:19" ht="30" customHeight="1" x14ac:dyDescent="0.3">
      <c r="A47" s="59"/>
      <c r="B47" s="38"/>
      <c r="C47" s="42"/>
      <c r="D47" s="43"/>
      <c r="E47" s="86"/>
      <c r="F47" s="86"/>
      <c r="G47" s="86"/>
      <c r="H47" s="86"/>
      <c r="I47" s="86"/>
      <c r="J47" s="86"/>
      <c r="K47" s="86"/>
      <c r="L47" s="45"/>
      <c r="N47" s="96"/>
      <c r="O47" s="97"/>
      <c r="P47" s="97"/>
      <c r="Q47" s="98"/>
      <c r="S47" s="54"/>
    </row>
    <row r="48" spans="1:19" ht="30" customHeight="1" x14ac:dyDescent="0.3">
      <c r="A48" s="59"/>
      <c r="B48" s="38"/>
      <c r="C48" s="42"/>
      <c r="D48" s="43"/>
      <c r="E48" s="86"/>
      <c r="F48" s="86"/>
      <c r="G48" s="86"/>
      <c r="H48" s="86"/>
      <c r="I48" s="86"/>
      <c r="J48" s="86"/>
      <c r="K48" s="86"/>
      <c r="L48" s="44"/>
      <c r="N48" s="96"/>
      <c r="O48" s="97"/>
      <c r="P48" s="97"/>
      <c r="Q48" s="98"/>
      <c r="S48" s="54"/>
    </row>
    <row r="49" spans="1:19" ht="30" customHeight="1" x14ac:dyDescent="0.3">
      <c r="A49" s="59"/>
      <c r="B49" s="38"/>
      <c r="C49" s="42"/>
      <c r="D49" s="43"/>
      <c r="E49" s="86"/>
      <c r="F49" s="86"/>
      <c r="G49" s="86"/>
      <c r="H49" s="86"/>
      <c r="I49" s="86"/>
      <c r="J49" s="86"/>
      <c r="K49" s="86"/>
      <c r="L49" s="45"/>
      <c r="N49" s="96"/>
      <c r="O49" s="97"/>
      <c r="P49" s="97"/>
      <c r="Q49" s="98"/>
      <c r="S49" s="54"/>
    </row>
    <row r="50" spans="1:19" ht="30" customHeight="1" x14ac:dyDescent="0.3">
      <c r="A50" s="59"/>
      <c r="B50" s="38"/>
      <c r="C50" s="42"/>
      <c r="D50" s="43"/>
      <c r="E50" s="86"/>
      <c r="F50" s="86"/>
      <c r="G50" s="86"/>
      <c r="H50" s="86"/>
      <c r="I50" s="86"/>
      <c r="J50" s="86"/>
      <c r="K50" s="86"/>
      <c r="L50" s="44"/>
      <c r="N50" s="96"/>
      <c r="O50" s="97"/>
      <c r="P50" s="97"/>
      <c r="Q50" s="98"/>
      <c r="S50" s="54"/>
    </row>
    <row r="51" spans="1:19" ht="30" customHeight="1" x14ac:dyDescent="0.3">
      <c r="A51" s="59"/>
      <c r="B51" s="38"/>
      <c r="C51" s="42"/>
      <c r="D51" s="43"/>
      <c r="E51" s="86"/>
      <c r="F51" s="86"/>
      <c r="G51" s="86"/>
      <c r="H51" s="86"/>
      <c r="I51" s="86"/>
      <c r="J51" s="86"/>
      <c r="K51" s="86"/>
      <c r="L51" s="45"/>
      <c r="N51" s="96"/>
      <c r="O51" s="97"/>
      <c r="P51" s="97"/>
      <c r="Q51" s="98"/>
      <c r="S51" s="54"/>
    </row>
    <row r="52" spans="1:19" ht="30" customHeight="1" x14ac:dyDescent="0.3">
      <c r="A52" s="59"/>
      <c r="B52" s="38"/>
      <c r="C52" s="42"/>
      <c r="D52" s="43"/>
      <c r="E52" s="86"/>
      <c r="F52" s="86"/>
      <c r="G52" s="86"/>
      <c r="H52" s="86"/>
      <c r="I52" s="86"/>
      <c r="J52" s="86"/>
      <c r="K52" s="86"/>
      <c r="L52" s="46"/>
      <c r="N52" s="96"/>
      <c r="O52" s="97"/>
      <c r="P52" s="97"/>
      <c r="Q52" s="98"/>
      <c r="S52" s="54"/>
    </row>
    <row r="53" spans="1:19" ht="30" customHeight="1" x14ac:dyDescent="0.3">
      <c r="A53" s="59"/>
      <c r="B53" s="38"/>
      <c r="C53" s="42"/>
      <c r="D53" s="43"/>
      <c r="E53" s="86"/>
      <c r="F53" s="86"/>
      <c r="G53" s="86"/>
      <c r="H53" s="86"/>
      <c r="I53" s="86"/>
      <c r="J53" s="86"/>
      <c r="K53" s="86"/>
      <c r="L53" s="46"/>
      <c r="N53" s="96"/>
      <c r="O53" s="97"/>
      <c r="P53" s="97"/>
      <c r="Q53" s="98"/>
      <c r="S53" s="54"/>
    </row>
    <row r="54" spans="1:19" ht="30" customHeight="1" thickBot="1" x14ac:dyDescent="0.35">
      <c r="A54" s="59"/>
      <c r="B54" s="38"/>
      <c r="C54" s="47"/>
      <c r="D54" s="48"/>
      <c r="E54" s="87"/>
      <c r="F54" s="87"/>
      <c r="G54" s="87"/>
      <c r="H54" s="87"/>
      <c r="I54" s="87"/>
      <c r="J54" s="87"/>
      <c r="K54" s="87"/>
      <c r="L54" s="49"/>
      <c r="N54" s="96"/>
      <c r="O54" s="97"/>
      <c r="P54" s="97"/>
      <c r="Q54" s="98"/>
      <c r="S54" s="54"/>
    </row>
    <row r="55" spans="1:19" ht="30" customHeight="1" thickTop="1" x14ac:dyDescent="0.3">
      <c r="A55" s="59"/>
      <c r="B55" s="38"/>
      <c r="C55" s="38"/>
      <c r="D55" s="63"/>
      <c r="E55" s="63"/>
      <c r="F55" s="63"/>
      <c r="G55" s="63"/>
      <c r="H55" s="63"/>
      <c r="I55" s="63"/>
      <c r="J55" s="63"/>
      <c r="K55" s="63"/>
      <c r="L55" s="63"/>
      <c r="N55" s="64"/>
      <c r="O55" s="64"/>
      <c r="P55" s="62"/>
      <c r="Q55" s="65"/>
      <c r="S55" s="54"/>
    </row>
    <row r="56" spans="1:19" ht="30" customHeight="1" thickBot="1" x14ac:dyDescent="0.45">
      <c r="A56" s="59"/>
      <c r="B56" s="38"/>
      <c r="C56" s="38"/>
      <c r="D56" s="84"/>
      <c r="E56" s="63"/>
      <c r="F56" s="63"/>
      <c r="G56" s="63"/>
      <c r="H56" s="63"/>
      <c r="I56" s="63"/>
      <c r="J56" s="63"/>
      <c r="K56" s="63"/>
      <c r="L56" s="63"/>
      <c r="N56" s="95" t="s">
        <v>23</v>
      </c>
      <c r="O56" s="95"/>
      <c r="P56" s="95"/>
      <c r="Q56" s="65"/>
      <c r="S56" s="54"/>
    </row>
    <row r="57" spans="1:19" ht="30" customHeight="1" thickTop="1" x14ac:dyDescent="0.3">
      <c r="A57" s="59"/>
      <c r="B57" s="38"/>
      <c r="C57" s="88" t="s">
        <v>23</v>
      </c>
      <c r="D57" s="89"/>
      <c r="E57" s="92" t="str">
        <f ca="1">TEXT(E8, "ddd dd/mm")</f>
        <v>Mon 18/05</v>
      </c>
      <c r="F57" s="92" t="str">
        <f t="shared" ref="F57:K57" ca="1" si="3">TEXT(F8, "ddd dd/mm")</f>
        <v>Tue 19/05</v>
      </c>
      <c r="G57" s="92" t="str">
        <f t="shared" ca="1" si="3"/>
        <v>Wed 20/05</v>
      </c>
      <c r="H57" s="92" t="str">
        <f t="shared" ca="1" si="3"/>
        <v>Thu 21/05</v>
      </c>
      <c r="I57" s="92" t="str">
        <f t="shared" ca="1" si="3"/>
        <v>Fri 22/05</v>
      </c>
      <c r="J57" s="92" t="str">
        <f t="shared" ca="1" si="3"/>
        <v>Sat 23/05</v>
      </c>
      <c r="K57" s="92" t="str">
        <f t="shared" ca="1" si="3"/>
        <v>Sun 24/05</v>
      </c>
      <c r="L57" s="39"/>
      <c r="N57" s="96"/>
      <c r="O57" s="97"/>
      <c r="P57" s="97"/>
      <c r="Q57" s="98"/>
      <c r="S57" s="54"/>
    </row>
    <row r="58" spans="1:19" ht="30" customHeight="1" x14ac:dyDescent="0.3">
      <c r="A58" s="59"/>
      <c r="B58" s="38"/>
      <c r="C58" s="90"/>
      <c r="D58" s="91"/>
      <c r="E58" s="93"/>
      <c r="F58" s="93"/>
      <c r="G58" s="93"/>
      <c r="H58" s="93"/>
      <c r="I58" s="93"/>
      <c r="J58" s="93"/>
      <c r="K58" s="93"/>
      <c r="L58" s="41"/>
      <c r="N58" s="96"/>
      <c r="O58" s="97"/>
      <c r="P58" s="97"/>
      <c r="Q58" s="98"/>
      <c r="S58" s="54"/>
    </row>
    <row r="59" spans="1:19" ht="30" customHeight="1" x14ac:dyDescent="0.3">
      <c r="A59" s="59"/>
      <c r="B59" s="38"/>
      <c r="C59" s="42"/>
      <c r="D59" s="43"/>
      <c r="E59" s="86"/>
      <c r="F59" s="86"/>
      <c r="G59" s="86"/>
      <c r="H59" s="86"/>
      <c r="I59" s="86"/>
      <c r="J59" s="86"/>
      <c r="K59" s="86"/>
      <c r="L59" s="66"/>
      <c r="N59" s="96"/>
      <c r="O59" s="97"/>
      <c r="P59" s="97"/>
      <c r="Q59" s="98"/>
      <c r="S59" s="54"/>
    </row>
    <row r="60" spans="1:19" ht="30" customHeight="1" x14ac:dyDescent="0.3">
      <c r="A60" s="59"/>
      <c r="B60" s="38"/>
      <c r="C60" s="42"/>
      <c r="D60" s="43"/>
      <c r="E60" s="86"/>
      <c r="F60" s="86"/>
      <c r="G60" s="86"/>
      <c r="H60" s="86"/>
      <c r="I60" s="86"/>
      <c r="J60" s="86"/>
      <c r="K60" s="86"/>
      <c r="L60" s="44"/>
      <c r="N60" s="96"/>
      <c r="O60" s="97"/>
      <c r="P60" s="97"/>
      <c r="Q60" s="98"/>
      <c r="S60" s="54"/>
    </row>
    <row r="61" spans="1:19" ht="30" customHeight="1" x14ac:dyDescent="0.3">
      <c r="A61" s="59"/>
      <c r="B61" s="38"/>
      <c r="C61" s="42"/>
      <c r="D61" s="43"/>
      <c r="E61" s="86"/>
      <c r="F61" s="86"/>
      <c r="G61" s="86"/>
      <c r="H61" s="86"/>
      <c r="I61" s="86"/>
      <c r="J61" s="86"/>
      <c r="K61" s="86"/>
      <c r="L61" s="45"/>
      <c r="N61" s="96"/>
      <c r="O61" s="97"/>
      <c r="P61" s="97"/>
      <c r="Q61" s="98"/>
      <c r="S61" s="54"/>
    </row>
    <row r="62" spans="1:19" ht="30" customHeight="1" x14ac:dyDescent="0.3">
      <c r="A62" s="59"/>
      <c r="B62" s="38"/>
      <c r="C62" s="42"/>
      <c r="D62" s="43"/>
      <c r="E62" s="86"/>
      <c r="F62" s="86"/>
      <c r="G62" s="86"/>
      <c r="H62" s="86"/>
      <c r="I62" s="86"/>
      <c r="J62" s="86"/>
      <c r="K62" s="86"/>
      <c r="L62" s="44"/>
      <c r="N62" s="96"/>
      <c r="O62" s="97"/>
      <c r="P62" s="97"/>
      <c r="Q62" s="98"/>
      <c r="S62" s="54"/>
    </row>
    <row r="63" spans="1:19" ht="30" customHeight="1" x14ac:dyDescent="0.3">
      <c r="A63" s="59"/>
      <c r="B63" s="38"/>
      <c r="C63" s="42"/>
      <c r="D63" s="43"/>
      <c r="E63" s="86"/>
      <c r="F63" s="86"/>
      <c r="G63" s="86"/>
      <c r="H63" s="86"/>
      <c r="I63" s="86"/>
      <c r="J63" s="86"/>
      <c r="K63" s="86"/>
      <c r="L63" s="45"/>
      <c r="N63" s="96"/>
      <c r="O63" s="97"/>
      <c r="P63" s="97"/>
      <c r="Q63" s="98"/>
      <c r="S63" s="54"/>
    </row>
    <row r="64" spans="1:19" ht="30" customHeight="1" x14ac:dyDescent="0.3">
      <c r="A64" s="59"/>
      <c r="B64" s="38"/>
      <c r="C64" s="42"/>
      <c r="D64" s="43"/>
      <c r="E64" s="86"/>
      <c r="F64" s="86"/>
      <c r="G64" s="86"/>
      <c r="H64" s="86"/>
      <c r="I64" s="86"/>
      <c r="J64" s="86"/>
      <c r="K64" s="86"/>
      <c r="L64" s="44"/>
      <c r="N64" s="96"/>
      <c r="O64" s="97"/>
      <c r="P64" s="97"/>
      <c r="Q64" s="98"/>
      <c r="S64" s="54"/>
    </row>
    <row r="65" spans="1:21" ht="30" customHeight="1" x14ac:dyDescent="0.3">
      <c r="A65" s="59"/>
      <c r="B65" s="38"/>
      <c r="C65" s="42"/>
      <c r="D65" s="43"/>
      <c r="E65" s="86"/>
      <c r="F65" s="86"/>
      <c r="G65" s="86"/>
      <c r="H65" s="86"/>
      <c r="I65" s="86"/>
      <c r="J65" s="86"/>
      <c r="K65" s="86"/>
      <c r="L65" s="45"/>
      <c r="N65" s="96"/>
      <c r="O65" s="97"/>
      <c r="P65" s="97"/>
      <c r="Q65" s="98"/>
      <c r="S65" s="54"/>
    </row>
    <row r="66" spans="1:21" ht="30" customHeight="1" x14ac:dyDescent="0.3">
      <c r="A66" s="59"/>
      <c r="B66" s="38"/>
      <c r="C66" s="42"/>
      <c r="D66" s="43"/>
      <c r="E66" s="86"/>
      <c r="F66" s="86"/>
      <c r="G66" s="86"/>
      <c r="H66" s="86"/>
      <c r="I66" s="86"/>
      <c r="J66" s="86"/>
      <c r="K66" s="86"/>
      <c r="L66" s="46"/>
      <c r="N66" s="96"/>
      <c r="O66" s="97"/>
      <c r="P66" s="97"/>
      <c r="Q66" s="98"/>
      <c r="S66" s="54"/>
    </row>
    <row r="67" spans="1:21" ht="30" customHeight="1" x14ac:dyDescent="0.3">
      <c r="A67" s="59"/>
      <c r="B67" s="38"/>
      <c r="C67" s="42"/>
      <c r="D67" s="43"/>
      <c r="E67" s="86"/>
      <c r="F67" s="86"/>
      <c r="G67" s="86"/>
      <c r="H67" s="86"/>
      <c r="I67" s="86"/>
      <c r="J67" s="86"/>
      <c r="K67" s="86"/>
      <c r="L67" s="46"/>
      <c r="N67" s="96"/>
      <c r="O67" s="97"/>
      <c r="P67" s="97"/>
      <c r="Q67" s="98"/>
      <c r="S67" s="54"/>
    </row>
    <row r="68" spans="1:21" ht="30" customHeight="1" thickBot="1" x14ac:dyDescent="0.35">
      <c r="A68" s="59"/>
      <c r="B68" s="38"/>
      <c r="C68" s="47"/>
      <c r="D68" s="48"/>
      <c r="E68" s="87"/>
      <c r="F68" s="87"/>
      <c r="G68" s="87"/>
      <c r="H68" s="87"/>
      <c r="I68" s="87"/>
      <c r="J68" s="87"/>
      <c r="K68" s="87"/>
      <c r="L68" s="49"/>
      <c r="N68" s="96"/>
      <c r="O68" s="97"/>
      <c r="P68" s="97"/>
      <c r="Q68" s="98"/>
      <c r="S68" s="54"/>
    </row>
    <row r="69" spans="1:21" ht="30" customHeight="1" thickTop="1" x14ac:dyDescent="0.3">
      <c r="A69" s="59"/>
      <c r="B69" s="38"/>
      <c r="C69" s="38"/>
      <c r="D69" s="63"/>
      <c r="E69" s="63"/>
      <c r="F69" s="63"/>
      <c r="G69" s="63"/>
      <c r="H69" s="63"/>
      <c r="I69" s="63"/>
      <c r="J69" s="63"/>
      <c r="K69" s="63"/>
      <c r="L69" s="63"/>
      <c r="N69" s="64"/>
      <c r="O69" s="64"/>
      <c r="P69" s="62"/>
      <c r="Q69" s="65"/>
      <c r="S69" s="54"/>
    </row>
    <row r="70" spans="1:21" ht="30" customHeight="1" thickBot="1" x14ac:dyDescent="0.45">
      <c r="A70" s="59"/>
      <c r="B70" s="38"/>
      <c r="C70" s="38"/>
      <c r="D70" s="84"/>
      <c r="E70" s="63"/>
      <c r="F70" s="63"/>
      <c r="G70" s="63"/>
      <c r="H70" s="63"/>
      <c r="I70" s="63"/>
      <c r="J70" s="63"/>
      <c r="K70" s="63"/>
      <c r="L70" s="63"/>
      <c r="N70" s="95" t="s">
        <v>24</v>
      </c>
      <c r="O70" s="95"/>
      <c r="P70" s="95"/>
      <c r="Q70" s="65"/>
      <c r="S70" s="54"/>
    </row>
    <row r="71" spans="1:21" ht="30" customHeight="1" thickTop="1" x14ac:dyDescent="0.3">
      <c r="A71" s="59"/>
      <c r="B71" s="38"/>
      <c r="C71" s="88" t="s">
        <v>24</v>
      </c>
      <c r="D71" s="89"/>
      <c r="E71" s="92" t="str">
        <f ca="1">TEXT(E9, "ddd dd/mm")</f>
        <v>Mon 25/05</v>
      </c>
      <c r="F71" s="92" t="str">
        <f t="shared" ref="F71:K71" ca="1" si="4">TEXT(F9, "ddd dd/mm")</f>
        <v>Tue 26/05</v>
      </c>
      <c r="G71" s="92" t="str">
        <f t="shared" ca="1" si="4"/>
        <v>Wed 27/05</v>
      </c>
      <c r="H71" s="92" t="str">
        <f t="shared" ca="1" si="4"/>
        <v>Thu 28/05</v>
      </c>
      <c r="I71" s="92" t="str">
        <f t="shared" ca="1" si="4"/>
        <v>Fri 29/05</v>
      </c>
      <c r="J71" s="92" t="str">
        <f t="shared" ca="1" si="4"/>
        <v>Sat 30/05</v>
      </c>
      <c r="K71" s="92" t="str">
        <f t="shared" ca="1" si="4"/>
        <v>Sun 31/05</v>
      </c>
      <c r="L71" s="39"/>
      <c r="N71" s="96"/>
      <c r="O71" s="97"/>
      <c r="P71" s="97"/>
      <c r="Q71" s="98"/>
      <c r="S71" s="54"/>
    </row>
    <row r="72" spans="1:21" ht="30" customHeight="1" x14ac:dyDescent="0.3">
      <c r="A72" s="59"/>
      <c r="B72" s="38"/>
      <c r="C72" s="90"/>
      <c r="D72" s="91"/>
      <c r="E72" s="93"/>
      <c r="F72" s="93"/>
      <c r="G72" s="93"/>
      <c r="H72" s="93"/>
      <c r="I72" s="93"/>
      <c r="J72" s="93"/>
      <c r="K72" s="93"/>
      <c r="L72" s="41"/>
      <c r="N72" s="96"/>
      <c r="O72" s="97"/>
      <c r="P72" s="97"/>
      <c r="Q72" s="98"/>
      <c r="R72" s="3"/>
      <c r="S72" s="54"/>
      <c r="T72" s="3"/>
      <c r="U72" s="3"/>
    </row>
    <row r="73" spans="1:21" ht="30" customHeight="1" x14ac:dyDescent="0.3">
      <c r="A73" s="59"/>
      <c r="B73" s="38"/>
      <c r="C73" s="42"/>
      <c r="D73" s="43"/>
      <c r="E73" s="86"/>
      <c r="F73" s="86"/>
      <c r="G73" s="86"/>
      <c r="H73" s="86"/>
      <c r="I73" s="86"/>
      <c r="J73" s="86"/>
      <c r="K73" s="86"/>
      <c r="L73" s="66"/>
      <c r="N73" s="96"/>
      <c r="O73" s="97"/>
      <c r="P73" s="97"/>
      <c r="Q73" s="98"/>
      <c r="S73" s="54"/>
    </row>
    <row r="74" spans="1:21" ht="30" customHeight="1" x14ac:dyDescent="0.3">
      <c r="A74" s="59"/>
      <c r="B74" s="38"/>
      <c r="C74" s="42"/>
      <c r="D74" s="43"/>
      <c r="E74" s="86"/>
      <c r="F74" s="86"/>
      <c r="G74" s="86"/>
      <c r="H74" s="86"/>
      <c r="I74" s="86"/>
      <c r="J74" s="86"/>
      <c r="K74" s="86"/>
      <c r="L74" s="44"/>
      <c r="N74" s="96"/>
      <c r="O74" s="97"/>
      <c r="P74" s="97"/>
      <c r="Q74" s="98"/>
      <c r="S74" s="54"/>
    </row>
    <row r="75" spans="1:21" ht="30" customHeight="1" x14ac:dyDescent="0.3">
      <c r="A75" s="59"/>
      <c r="B75" s="38"/>
      <c r="C75" s="42"/>
      <c r="D75" s="43"/>
      <c r="E75" s="86"/>
      <c r="F75" s="86"/>
      <c r="G75" s="86"/>
      <c r="H75" s="86"/>
      <c r="I75" s="86"/>
      <c r="J75" s="86"/>
      <c r="K75" s="86"/>
      <c r="L75" s="45"/>
      <c r="N75" s="96"/>
      <c r="O75" s="97"/>
      <c r="P75" s="97"/>
      <c r="Q75" s="98"/>
      <c r="S75" s="54"/>
    </row>
    <row r="76" spans="1:21" ht="30" customHeight="1" x14ac:dyDescent="0.3">
      <c r="A76" s="59"/>
      <c r="B76" s="38"/>
      <c r="C76" s="42"/>
      <c r="D76" s="43"/>
      <c r="E76" s="86"/>
      <c r="F76" s="86"/>
      <c r="G76" s="86"/>
      <c r="H76" s="86"/>
      <c r="I76" s="86"/>
      <c r="J76" s="86"/>
      <c r="K76" s="86"/>
      <c r="L76" s="44"/>
      <c r="N76" s="96"/>
      <c r="O76" s="97"/>
      <c r="P76" s="97"/>
      <c r="Q76" s="98"/>
      <c r="S76" s="54"/>
    </row>
    <row r="77" spans="1:21" ht="30" customHeight="1" x14ac:dyDescent="0.3">
      <c r="A77" s="59"/>
      <c r="B77" s="38"/>
      <c r="C77" s="42"/>
      <c r="D77" s="43"/>
      <c r="E77" s="86"/>
      <c r="F77" s="86"/>
      <c r="G77" s="86"/>
      <c r="H77" s="86"/>
      <c r="I77" s="86"/>
      <c r="J77" s="86"/>
      <c r="K77" s="86"/>
      <c r="L77" s="45"/>
      <c r="N77" s="96"/>
      <c r="O77" s="97"/>
      <c r="P77" s="97"/>
      <c r="Q77" s="98"/>
      <c r="S77" s="54"/>
    </row>
    <row r="78" spans="1:21" ht="30" customHeight="1" x14ac:dyDescent="0.3">
      <c r="A78" s="59"/>
      <c r="B78" s="38"/>
      <c r="C78" s="42"/>
      <c r="D78" s="43"/>
      <c r="E78" s="86"/>
      <c r="F78" s="86"/>
      <c r="G78" s="86"/>
      <c r="H78" s="86"/>
      <c r="I78" s="86"/>
      <c r="J78" s="86"/>
      <c r="K78" s="86"/>
      <c r="L78" s="44"/>
      <c r="N78" s="96"/>
      <c r="O78" s="97"/>
      <c r="P78" s="97"/>
      <c r="Q78" s="98"/>
      <c r="S78" s="54"/>
    </row>
    <row r="79" spans="1:21" ht="30" customHeight="1" x14ac:dyDescent="0.3">
      <c r="A79" s="59"/>
      <c r="B79" s="38"/>
      <c r="C79" s="42"/>
      <c r="D79" s="43"/>
      <c r="E79" s="86"/>
      <c r="F79" s="86"/>
      <c r="G79" s="86"/>
      <c r="H79" s="86"/>
      <c r="I79" s="86"/>
      <c r="J79" s="86"/>
      <c r="K79" s="86"/>
      <c r="L79" s="45"/>
      <c r="N79" s="96"/>
      <c r="O79" s="97"/>
      <c r="P79" s="97"/>
      <c r="Q79" s="98"/>
      <c r="S79" s="54"/>
    </row>
    <row r="80" spans="1:21" ht="30" customHeight="1" x14ac:dyDescent="0.3">
      <c r="A80" s="59"/>
      <c r="B80" s="38"/>
      <c r="C80" s="42"/>
      <c r="D80" s="43"/>
      <c r="E80" s="86"/>
      <c r="F80" s="86"/>
      <c r="G80" s="86"/>
      <c r="H80" s="86"/>
      <c r="I80" s="86"/>
      <c r="J80" s="86"/>
      <c r="K80" s="86"/>
      <c r="L80" s="46"/>
      <c r="N80" s="96"/>
      <c r="O80" s="97"/>
      <c r="P80" s="97"/>
      <c r="Q80" s="98"/>
      <c r="S80" s="54"/>
    </row>
    <row r="81" spans="1:19" ht="30" customHeight="1" x14ac:dyDescent="0.3">
      <c r="A81" s="59"/>
      <c r="B81" s="38"/>
      <c r="C81" s="42"/>
      <c r="D81" s="43"/>
      <c r="E81" s="86"/>
      <c r="F81" s="86"/>
      <c r="G81" s="86"/>
      <c r="H81" s="86"/>
      <c r="I81" s="86"/>
      <c r="J81" s="86"/>
      <c r="K81" s="86"/>
      <c r="L81" s="46"/>
      <c r="N81" s="96"/>
      <c r="O81" s="97"/>
      <c r="P81" s="97"/>
      <c r="Q81" s="98"/>
      <c r="S81" s="54"/>
    </row>
    <row r="82" spans="1:19" ht="30" customHeight="1" thickBot="1" x14ac:dyDescent="0.35">
      <c r="A82" s="59"/>
      <c r="B82" s="38"/>
      <c r="C82" s="47"/>
      <c r="D82" s="48"/>
      <c r="E82" s="87"/>
      <c r="F82" s="87"/>
      <c r="G82" s="87"/>
      <c r="H82" s="87"/>
      <c r="I82" s="87"/>
      <c r="J82" s="87"/>
      <c r="K82" s="87"/>
      <c r="L82" s="49"/>
      <c r="N82" s="96"/>
      <c r="O82" s="97"/>
      <c r="P82" s="97"/>
      <c r="Q82" s="98"/>
      <c r="S82" s="54"/>
    </row>
    <row r="83" spans="1:19" ht="30" customHeight="1" thickTop="1" x14ac:dyDescent="0.3">
      <c r="A83" s="59"/>
      <c r="B83" s="38"/>
      <c r="C83" s="38"/>
      <c r="D83" s="63"/>
      <c r="E83" s="63"/>
      <c r="F83" s="63"/>
      <c r="G83" s="63"/>
      <c r="H83" s="63"/>
      <c r="I83" s="63"/>
      <c r="J83" s="63"/>
      <c r="K83" s="63"/>
      <c r="L83" s="63"/>
      <c r="N83" s="64"/>
      <c r="O83" s="64"/>
      <c r="P83" s="62"/>
      <c r="Q83" s="65"/>
      <c r="S83" s="54"/>
    </row>
    <row r="84" spans="1:19" ht="30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6"/>
      <c r="O84" s="56"/>
      <c r="P84" s="54"/>
      <c r="Q84" s="57"/>
      <c r="R84" s="54"/>
      <c r="S84" s="54"/>
    </row>
  </sheetData>
  <sheetProtection sheet="1" objects="1" scenarios="1" selectLockedCells="1"/>
  <dataConsolidate/>
  <mergeCells count="106">
    <mergeCell ref="N76:Q76"/>
    <mergeCell ref="N39:Q39"/>
    <mergeCell ref="N40:Q40"/>
    <mergeCell ref="N15:Q15"/>
    <mergeCell ref="N16:Q16"/>
    <mergeCell ref="N17:Q17"/>
    <mergeCell ref="N18:Q18"/>
    <mergeCell ref="N19:Q19"/>
    <mergeCell ref="N20:Q20"/>
    <mergeCell ref="N21:Q21"/>
    <mergeCell ref="N22:Q22"/>
    <mergeCell ref="N23:Q23"/>
    <mergeCell ref="N24:Q24"/>
    <mergeCell ref="N25:Q25"/>
    <mergeCell ref="N26:Q26"/>
    <mergeCell ref="H71:H72"/>
    <mergeCell ref="I71:I72"/>
    <mergeCell ref="N82:Q82"/>
    <mergeCell ref="N57:Q57"/>
    <mergeCell ref="N58:Q58"/>
    <mergeCell ref="N59:Q59"/>
    <mergeCell ref="N60:Q60"/>
    <mergeCell ref="N61:Q61"/>
    <mergeCell ref="N62:Q62"/>
    <mergeCell ref="N63:Q63"/>
    <mergeCell ref="N64:Q64"/>
    <mergeCell ref="N65:Q65"/>
    <mergeCell ref="N66:Q66"/>
    <mergeCell ref="N67:Q67"/>
    <mergeCell ref="N68:Q68"/>
    <mergeCell ref="N77:Q77"/>
    <mergeCell ref="N78:Q78"/>
    <mergeCell ref="N79:Q79"/>
    <mergeCell ref="N80:Q80"/>
    <mergeCell ref="N81:Q81"/>
    <mergeCell ref="N72:Q72"/>
    <mergeCell ref="N73:Q73"/>
    <mergeCell ref="N74:Q74"/>
    <mergeCell ref="N75:Q75"/>
    <mergeCell ref="N71:Q71"/>
    <mergeCell ref="N43:Q43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N53:Q53"/>
    <mergeCell ref="N56:P56"/>
    <mergeCell ref="N70:P70"/>
    <mergeCell ref="N14:P14"/>
    <mergeCell ref="N54:Q54"/>
    <mergeCell ref="N29:Q29"/>
    <mergeCell ref="N30:Q30"/>
    <mergeCell ref="N31:Q31"/>
    <mergeCell ref="N32:Q32"/>
    <mergeCell ref="N33:Q33"/>
    <mergeCell ref="N34:Q34"/>
    <mergeCell ref="N35:Q35"/>
    <mergeCell ref="N36:Q36"/>
    <mergeCell ref="N37:Q37"/>
    <mergeCell ref="N38:Q38"/>
    <mergeCell ref="N28:P28"/>
    <mergeCell ref="N42:P42"/>
    <mergeCell ref="D5:D6"/>
    <mergeCell ref="E57:E58"/>
    <mergeCell ref="F57:F58"/>
    <mergeCell ref="G57:G58"/>
    <mergeCell ref="H57:H58"/>
    <mergeCell ref="I57:I58"/>
    <mergeCell ref="C29:D30"/>
    <mergeCell ref="C15:D16"/>
    <mergeCell ref="C43:D44"/>
    <mergeCell ref="C57:D58"/>
    <mergeCell ref="G15:G16"/>
    <mergeCell ref="H15:H16"/>
    <mergeCell ref="I15:I16"/>
    <mergeCell ref="E15:E16"/>
    <mergeCell ref="F15:F16"/>
    <mergeCell ref="J15:J16"/>
    <mergeCell ref="J71:J72"/>
    <mergeCell ref="J57:J58"/>
    <mergeCell ref="C71:D72"/>
    <mergeCell ref="K71:K72"/>
    <mergeCell ref="K43:K44"/>
    <mergeCell ref="E29:E30"/>
    <mergeCell ref="F29:F30"/>
    <mergeCell ref="G29:G30"/>
    <mergeCell ref="H29:H30"/>
    <mergeCell ref="I29:I30"/>
    <mergeCell ref="J29:J30"/>
    <mergeCell ref="K29:K30"/>
    <mergeCell ref="E43:E44"/>
    <mergeCell ref="F43:F44"/>
    <mergeCell ref="G43:G44"/>
    <mergeCell ref="H43:H44"/>
    <mergeCell ref="I43:I44"/>
    <mergeCell ref="J43:J44"/>
    <mergeCell ref="E71:E72"/>
    <mergeCell ref="K57:K58"/>
    <mergeCell ref="K15:K16"/>
    <mergeCell ref="F71:F72"/>
    <mergeCell ref="G71:G72"/>
  </mergeCells>
  <conditionalFormatting sqref="D17:K25">
    <cfRule type="expression" dxfId="161" priority="4">
      <formula>D17&lt;&gt;""</formula>
    </cfRule>
  </conditionalFormatting>
  <conditionalFormatting sqref="D26:K27">
    <cfRule type="expression" dxfId="160" priority="15">
      <formula>COLUMN(#REF!)&gt;2</formula>
    </cfRule>
  </conditionalFormatting>
  <conditionalFormatting sqref="D31:K39">
    <cfRule type="expression" dxfId="159" priority="5">
      <formula>D31&lt;&gt;""</formula>
    </cfRule>
  </conditionalFormatting>
  <conditionalFormatting sqref="D40:K41">
    <cfRule type="expression" dxfId="158" priority="13">
      <formula>COLUMN(#REF!)&gt;2</formula>
    </cfRule>
  </conditionalFormatting>
  <conditionalFormatting sqref="D45:K53">
    <cfRule type="expression" dxfId="157" priority="3">
      <formula>D45&lt;&gt;""</formula>
    </cfRule>
  </conditionalFormatting>
  <conditionalFormatting sqref="D54:K55">
    <cfRule type="expression" dxfId="156" priority="11">
      <formula>COLUMN(#REF!)&gt;2</formula>
    </cfRule>
  </conditionalFormatting>
  <conditionalFormatting sqref="D59:K67">
    <cfRule type="expression" dxfId="155" priority="2">
      <formula>D59&lt;&gt;""</formula>
    </cfRule>
  </conditionalFormatting>
  <conditionalFormatting sqref="D68:K69">
    <cfRule type="expression" dxfId="154" priority="9">
      <formula>COLUMN(#REF!)&gt;2</formula>
    </cfRule>
  </conditionalFormatting>
  <conditionalFormatting sqref="D73:K81">
    <cfRule type="expression" dxfId="153" priority="1">
      <formula>D73&lt;&gt;""</formula>
    </cfRule>
  </conditionalFormatting>
  <conditionalFormatting sqref="D82:K83">
    <cfRule type="expression" dxfId="152" priority="7">
      <formula>COLUMN(#REF!)&gt;2</formula>
    </cfRule>
  </conditionalFormatting>
  <conditionalFormatting sqref="E5:J5">
    <cfRule type="expression" dxfId="151" priority="18" stopIfTrue="1">
      <formula>DAY(E5)&gt;8</formula>
    </cfRule>
  </conditionalFormatting>
  <conditionalFormatting sqref="E4:K10">
    <cfRule type="timePeriod" dxfId="150" priority="16" timePeriod="thisWeek">
      <formula>AND(TODAY()-ROUNDDOWN(E4,0)&lt;=WEEKDAY(TODAY())-1,ROUNDDOWN(E4,0)-TODAY()&lt;=7-WEEKDAY(TODAY()))</formula>
    </cfRule>
  </conditionalFormatting>
  <conditionalFormatting sqref="E5:K10">
    <cfRule type="expression" dxfId="149" priority="19">
      <formula>VLOOKUP(DAY(E5),$O:$O,1,FALSE)=DAY(E5)</formula>
    </cfRule>
  </conditionalFormatting>
  <conditionalFormatting sqref="E9:K10">
    <cfRule type="expression" dxfId="148" priority="17" stopIfTrue="1">
      <formula>AND(DAY(E9)&gt;=1,DAY(E9)&lt;=15)</formula>
    </cfRule>
  </conditionalFormatting>
  <conditionalFormatting sqref="E56:K56 E70:K70">
    <cfRule type="expression" dxfId="147" priority="40">
      <formula>COLUMN(#REF!)&gt;2</formula>
    </cfRule>
  </conditionalFormatting>
  <conditionalFormatting sqref="M6:M11">
    <cfRule type="expression" dxfId="146" priority="39">
      <formula>VLOOKUP(DAY(M6),AssignmentDays,1,FALSE)=DAY(M6)</formula>
    </cfRule>
  </conditionalFormatting>
  <conditionalFormatting sqref="M10:M11">
    <cfRule type="expression" dxfId="145" priority="38" stopIfTrue="1">
      <formula>AND(DAY(M10)&gt;=1,DAY(M10)&lt;=15)</formula>
    </cfRule>
  </conditionalFormatting>
  <conditionalFormatting sqref="R72 T72:U72">
    <cfRule type="expression" dxfId="144" priority="28" stopIfTrue="1">
      <formula>AND(DAY(R72)&gt;=1,DAY(R72)&lt;=15)</formula>
    </cfRule>
    <cfRule type="expression" dxfId="143" priority="37">
      <formula>VLOOKUP(DAY(R72),$O:$O,1,FALSE)=DAY(R72)</formula>
    </cfRule>
  </conditionalFormatting>
  <dataValidations count="10">
    <dataValidation allowBlank="1" showInputMessage="1" showErrorMessage="1" prompt="March calendar. Calendar year is automatically updated based on cell D5 in Jan sheet." sqref="A1" xr:uid="{0ED3C565-8D02-401E-BF9A-DE7020A8052A}"/>
    <dataValidation allowBlank="1" showInputMessage="1" showErrorMessage="1" prompt="Cells E4:K4 contain weekdays" sqref="E4" xr:uid="{5A336482-FAC9-4598-8F84-E98AD58505E3}"/>
    <dataValidation allowBlank="1" showInputMessage="1" showErrorMessage="1" prompt="If this cell doesn’t contain the number 1, then it is a day from a previous month. Cells E5:K10 contain dates for the current month" sqref="E5" xr:uid="{335E43F5-5F62-4EAD-8941-6F0579839A82}"/>
    <dataValidation allowBlank="1" showInputMessage="1" showErrorMessage="1" prompt="Enter the assignment details in this column that correspond to the weekday in column N and day in column O for the calendar month at left" sqref="N4" xr:uid="{758B7654-372D-4C01-90A9-FA503C48E8CB}"/>
    <dataValidation allowBlank="1" showInputMessage="1" showErrorMessage="1" prompt="Calendar automatically highlights assignment list entries for the month. Darker fonts are assignments. Lighter fonts are days that belong to the previous or next month" sqref="D4" xr:uid="{00A6F198-7300-4745-98A0-8EB3CAFB26C6}"/>
    <dataValidation allowBlank="1" showInputMessage="1" showErrorMessage="1" prompt="Calendar year is automatically updated in this cell. To change the calendar year, to go cell D5 in Jan worksheet." sqref="D5:D6" xr:uid="{1CCD0E06-083F-41A9-9AB1-BB72FAA4F00B}"/>
    <dataValidation allowBlank="1" showInputMessage="1" showErrorMessage="1" prompt="Day of the week goes in this row, starting in cell D16" sqref="A29 A15" xr:uid="{2BFA2452-D75D-4010-931D-28D09AC64B0A}"/>
    <dataValidation allowBlank="1" showInputMessage="1" showErrorMessage="1" prompt="Weekdays are in this row, from Monday to Friday" sqref="C57 C43 C29 E29:K29 E15:K15 C15 C71" xr:uid="{89323CA7-F29E-4A87-ACCB-09C80477EECC}"/>
    <dataValidation allowBlank="1" showInputMessage="1" showErrorMessage="1" prompt="If this row contains a number less than the previous number or row of numbers, then this row contains dates for the next calendar month" sqref="E10" xr:uid="{66E4F7E0-B19A-4626-8366-E3F3E75C412F}"/>
    <dataValidation allowBlank="1" showInputMessage="1" showErrorMessage="1" prompt="Enter the time of your class and under it, in a new row, the class name for each weekday in columns D to K. Repeat this pattern for all classes in subsequent rows" sqref="D13" xr:uid="{3001944E-7B0E-4931-92C4-3B6E445CF9F5}"/>
  </dataValidations>
  <printOptions horizontalCentered="1" verticalCentered="1"/>
  <pageMargins left="0.25" right="0.25" top="0.5" bottom="0.5" header="0.3" footer="0.3"/>
  <pageSetup scale="21" orientation="landscape" r:id="rId1"/>
  <rowBreaks count="1" manualBreakCount="1">
    <brk id="1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261C-4ACE-476A-A278-BD567BD4FA6A}">
  <sheetPr>
    <tabColor theme="6" tint="0.39997558519241921"/>
    <pageSetUpPr fitToPage="1"/>
  </sheetPr>
  <dimension ref="A1:U84"/>
  <sheetViews>
    <sheetView showGridLines="0" topLeftCell="A15" zoomScale="59" zoomScaleNormal="100" zoomScalePageLayoutView="84" workbookViewId="0">
      <selection activeCell="N15" sqref="N15:Q15"/>
    </sheetView>
  </sheetViews>
  <sheetFormatPr defaultColWidth="8.59765625" defaultRowHeight="30" customHeight="1" x14ac:dyDescent="0.25"/>
  <cols>
    <col min="1" max="2" width="5.59765625" customWidth="1"/>
    <col min="3" max="3" width="2.59765625" customWidth="1"/>
    <col min="4" max="4" width="19.5" customWidth="1"/>
    <col min="5" max="11" width="24.59765625" customWidth="1"/>
    <col min="12" max="12" width="2.59765625" customWidth="1"/>
    <col min="13" max="13" width="5.59765625" style="11" customWidth="1"/>
    <col min="14" max="14" width="12.59765625" style="50" customWidth="1"/>
    <col min="15" max="15" width="5.59765625" style="50" customWidth="1"/>
    <col min="16" max="16" width="2.59765625" customWidth="1"/>
    <col min="17" max="17" width="70.59765625" style="12" customWidth="1"/>
    <col min="18" max="19" width="5.59765625" customWidth="1"/>
  </cols>
  <sheetData>
    <row r="1" spans="1:19" ht="30" customHeight="1" x14ac:dyDescent="0.25">
      <c r="A1" s="54"/>
      <c r="B1" s="54"/>
      <c r="C1" s="54"/>
      <c r="D1" s="55"/>
      <c r="E1" s="54"/>
      <c r="F1" s="54"/>
      <c r="G1" s="54"/>
      <c r="H1" s="54"/>
      <c r="I1" s="54"/>
      <c r="J1" s="54"/>
      <c r="K1" s="54"/>
      <c r="L1" s="54"/>
      <c r="M1" s="60"/>
      <c r="N1" s="56"/>
      <c r="O1" s="56"/>
      <c r="P1" s="54"/>
      <c r="Q1" s="57"/>
      <c r="R1" s="54"/>
      <c r="S1" s="54"/>
    </row>
    <row r="2" spans="1:19" ht="30" customHeight="1" thickBot="1" x14ac:dyDescent="0.3">
      <c r="A2" s="54"/>
      <c r="D2" s="10"/>
      <c r="E2" s="10"/>
      <c r="F2" s="10"/>
      <c r="G2" s="10"/>
      <c r="H2" s="10"/>
      <c r="I2" s="10"/>
      <c r="J2" s="10"/>
      <c r="K2" s="10"/>
      <c r="N2"/>
      <c r="O2"/>
      <c r="S2" s="54"/>
    </row>
    <row r="3" spans="1:19" ht="30" customHeight="1" thickTop="1" x14ac:dyDescent="0.3">
      <c r="A3" s="54"/>
      <c r="C3" s="14"/>
      <c r="D3" s="15"/>
      <c r="E3" s="15"/>
      <c r="F3" s="15"/>
      <c r="G3" s="15"/>
      <c r="H3" s="15"/>
      <c r="I3" s="15"/>
      <c r="J3" s="15"/>
      <c r="K3" s="15"/>
      <c r="L3" s="16"/>
      <c r="N3" s="68"/>
      <c r="O3" s="64"/>
      <c r="P3" s="69"/>
      <c r="Q3" s="70"/>
      <c r="S3" s="54"/>
    </row>
    <row r="4" spans="1:19" ht="35.1" customHeight="1" x14ac:dyDescent="0.25">
      <c r="A4" s="54"/>
      <c r="C4" s="17"/>
      <c r="D4" s="1" t="s">
        <v>13</v>
      </c>
      <c r="E4" s="18" t="s">
        <v>1</v>
      </c>
      <c r="F4" s="18" t="s">
        <v>2</v>
      </c>
      <c r="G4" s="18" t="s">
        <v>3</v>
      </c>
      <c r="H4" s="18" t="s">
        <v>4</v>
      </c>
      <c r="I4" s="18" t="s">
        <v>5</v>
      </c>
      <c r="J4" s="18" t="s">
        <v>6</v>
      </c>
      <c r="K4" s="18" t="s">
        <v>7</v>
      </c>
      <c r="L4" s="19"/>
      <c r="N4" s="71"/>
      <c r="O4" s="69"/>
      <c r="P4" s="69"/>
      <c r="Q4" s="72"/>
      <c r="S4" s="54"/>
    </row>
    <row r="5" spans="1:19" ht="30" customHeight="1" x14ac:dyDescent="0.3">
      <c r="A5" s="58"/>
      <c r="B5" s="21"/>
      <c r="C5" s="22"/>
      <c r="D5" s="94">
        <f ca="1">CalendarYear</f>
        <v>2026</v>
      </c>
      <c r="E5" s="3">
        <f ca="1">IF(DAY(JunSun1)=1,JunSun1-6,JunSun1+1)</f>
        <v>46174</v>
      </c>
      <c r="F5" s="3">
        <f ca="1">IF(DAY(JunSun1)=1,JunSun1-5,JunSun1+2)</f>
        <v>46175</v>
      </c>
      <c r="G5" s="3">
        <f ca="1">IF(DAY(JunSun1)=1,JunSun1-4,JunSun1+3)</f>
        <v>46176</v>
      </c>
      <c r="H5" s="3">
        <f ca="1">IF(DAY(JunSun1)=1,JunSun1-3,JunSun1+4)</f>
        <v>46177</v>
      </c>
      <c r="I5" s="3">
        <f ca="1">IF(DAY(JunSun1)=1,JunSun1-2,JunSun1+5)</f>
        <v>46178</v>
      </c>
      <c r="J5" s="3">
        <f ca="1">IF(DAY(JunSun1)=1,JunSun1-1,JunSun1+6)</f>
        <v>46179</v>
      </c>
      <c r="K5" s="3">
        <f ca="1">IF(DAY(JunSun1)=1,JunSun1,JunSun1+7)</f>
        <v>46180</v>
      </c>
      <c r="L5" s="24"/>
      <c r="M5" s="25"/>
      <c r="N5" s="68"/>
      <c r="O5" s="69"/>
      <c r="P5" s="69"/>
      <c r="Q5" s="70"/>
      <c r="S5" s="54"/>
    </row>
    <row r="6" spans="1:19" ht="30" customHeight="1" x14ac:dyDescent="0.3">
      <c r="A6" s="58"/>
      <c r="B6" s="21"/>
      <c r="C6" s="22"/>
      <c r="D6" s="94"/>
      <c r="E6" s="3">
        <f ca="1">IF(DAY(JunSun1)=1,JunSun1+1,JunSun1+8)</f>
        <v>46181</v>
      </c>
      <c r="F6" s="3">
        <f ca="1">IF(DAY(JunSun1)=1,JunSun1+2,JunSun1+9)</f>
        <v>46182</v>
      </c>
      <c r="G6" s="3">
        <f ca="1">IF(DAY(JunSun1)=1,JunSun1+3,JunSun1+10)</f>
        <v>46183</v>
      </c>
      <c r="H6" s="3">
        <f ca="1">IF(DAY(JunSun1)=1,JunSun1+4,JunSun1+11)</f>
        <v>46184</v>
      </c>
      <c r="I6" s="3">
        <f ca="1">IF(DAY(JunSun1)=1,JunSun1+5,JunSun1+12)</f>
        <v>46185</v>
      </c>
      <c r="J6" s="3">
        <f ca="1">IF(DAY(JunSun1)=1,JunSun1+6,JunSun1+13)</f>
        <v>46186</v>
      </c>
      <c r="K6" s="3">
        <f ca="1">IF(DAY(JunSun1)=1,JunSun1+7,JunSun1+14)</f>
        <v>46187</v>
      </c>
      <c r="L6" s="24"/>
      <c r="M6" s="26"/>
      <c r="N6" s="73"/>
      <c r="O6" s="74"/>
      <c r="P6" s="74"/>
      <c r="Q6" s="70"/>
      <c r="S6" s="54"/>
    </row>
    <row r="7" spans="1:19" ht="30" customHeight="1" x14ac:dyDescent="0.25">
      <c r="A7" s="58"/>
      <c r="B7" s="21"/>
      <c r="C7" s="22"/>
      <c r="D7" s="27"/>
      <c r="E7" s="3">
        <f ca="1">IF(DAY(JunSun1)=1,JunSun1+8,JunSun1+15)</f>
        <v>46188</v>
      </c>
      <c r="F7" s="3">
        <f ca="1">IF(DAY(JunSun1)=1,JunSun1+9,JunSun1+16)</f>
        <v>46189</v>
      </c>
      <c r="G7" s="3">
        <f ca="1">IF(DAY(JunSun1)=1,JunSun1+10,JunSun1+17)</f>
        <v>46190</v>
      </c>
      <c r="H7" s="3">
        <f ca="1">IF(DAY(JunSun1)=1,JunSun1+11,JunSun1+18)</f>
        <v>46191</v>
      </c>
      <c r="I7" s="3">
        <f ca="1">IF(DAY(JunSun1)=1,JunSun1+12,JunSun1+19)</f>
        <v>46192</v>
      </c>
      <c r="J7" s="3">
        <f ca="1">IF(DAY(JunSun1)=1,JunSun1+13,JunSun1+20)</f>
        <v>46193</v>
      </c>
      <c r="K7" s="3">
        <f ca="1">IF(DAY(JunSun1)=1,JunSun1+14,JunSun1+21)</f>
        <v>46194</v>
      </c>
      <c r="L7" s="24"/>
      <c r="M7" s="26"/>
      <c r="N7" s="75"/>
      <c r="O7" s="76"/>
      <c r="P7" s="76"/>
      <c r="Q7" s="70"/>
      <c r="S7" s="54"/>
    </row>
    <row r="8" spans="1:19" ht="30" customHeight="1" x14ac:dyDescent="0.3">
      <c r="A8" s="58"/>
      <c r="B8" s="21"/>
      <c r="C8" s="22"/>
      <c r="D8" s="27"/>
      <c r="E8" s="3">
        <f ca="1">IF(DAY(JunSun1)=1,JunSun1+15,JunSun1+22)</f>
        <v>46195</v>
      </c>
      <c r="F8" s="3">
        <f ca="1">IF(DAY(JunSun1)=1,JunSun1+16,JunSun1+23)</f>
        <v>46196</v>
      </c>
      <c r="G8" s="3">
        <f ca="1">IF(DAY(JunSun1)=1,JunSun1+17,JunSun1+24)</f>
        <v>46197</v>
      </c>
      <c r="H8" s="3">
        <f ca="1">IF(DAY(JunSun1)=1,JunSun1+18,JunSun1+25)</f>
        <v>46198</v>
      </c>
      <c r="I8" s="3">
        <f ca="1">IF(DAY(JunSun1)=1,JunSun1+19,JunSun1+26)</f>
        <v>46199</v>
      </c>
      <c r="J8" s="3">
        <f ca="1">IF(DAY(JunSun1)=1,JunSun1+20,JunSun1+27)</f>
        <v>46200</v>
      </c>
      <c r="K8" s="3">
        <f ca="1">IF(DAY(JunSun1)=1,JunSun1+21,JunSun1+28)</f>
        <v>46201</v>
      </c>
      <c r="L8" s="24"/>
      <c r="M8" s="26"/>
      <c r="N8" s="77"/>
      <c r="O8" s="62"/>
      <c r="P8" s="62"/>
      <c r="Q8" s="70"/>
      <c r="S8" s="54"/>
    </row>
    <row r="9" spans="1:19" ht="30" customHeight="1" x14ac:dyDescent="0.3">
      <c r="A9" s="58"/>
      <c r="B9" s="21"/>
      <c r="C9" s="22"/>
      <c r="D9" s="27"/>
      <c r="E9" s="3">
        <f ca="1">IF(DAY(JunSun1)=1,JunSun1+22,JunSun1+29)</f>
        <v>46202</v>
      </c>
      <c r="F9" s="3">
        <f ca="1">IF(DAY(JunSun1)=1,JunSun1+23,JunSun1+30)</f>
        <v>46203</v>
      </c>
      <c r="G9" s="3">
        <f ca="1">IF(DAY(JunSun1)=1,JunSun1+24,JunSun1+31)</f>
        <v>46204</v>
      </c>
      <c r="H9" s="3">
        <f ca="1">IF(DAY(JunSun1)=1,JunSun1+25,JunSun1+32)</f>
        <v>46205</v>
      </c>
      <c r="I9" s="3">
        <f ca="1">IF(DAY(JunSun1)=1,JunSun1+26,JunSun1+33)</f>
        <v>46206</v>
      </c>
      <c r="J9" s="3">
        <f ca="1">IF(DAY(JunSun1)=1,JunSun1+27,JunSun1+34)</f>
        <v>46207</v>
      </c>
      <c r="K9" s="3">
        <f ca="1">IF(DAY(JunSun1)=1,JunSun1+28,JunSun1+35)</f>
        <v>46208</v>
      </c>
      <c r="L9" s="24"/>
      <c r="M9" s="26"/>
      <c r="N9" s="77"/>
      <c r="O9" s="62"/>
      <c r="P9" s="62"/>
      <c r="Q9" s="70"/>
      <c r="S9" s="54"/>
    </row>
    <row r="10" spans="1:19" ht="30" customHeight="1" x14ac:dyDescent="0.3">
      <c r="A10" s="58"/>
      <c r="B10" s="21"/>
      <c r="C10" s="22"/>
      <c r="D10" s="27"/>
      <c r="E10" s="3">
        <f ca="1">IF(DAY(JunSun1)=1,JunSun1+29,JunSun1+36)</f>
        <v>46209</v>
      </c>
      <c r="F10" s="3">
        <f ca="1">IF(DAY(JunSun1)=1,JunSun1+30,JunSun1+37)</f>
        <v>46210</v>
      </c>
      <c r="G10" s="3">
        <f ca="1">IF(DAY(JunSun1)=1,JunSun1+31,JunSun1+38)</f>
        <v>46211</v>
      </c>
      <c r="H10" s="3">
        <f ca="1">IF(DAY(JunSun1)=1,JunSun1+32,JunSun1+39)</f>
        <v>46212</v>
      </c>
      <c r="I10" s="3">
        <f ca="1">IF(DAY(JunSun1)=1,JunSun1+33,JunSun1+40)</f>
        <v>46213</v>
      </c>
      <c r="J10" s="3">
        <f ca="1">IF(DAY(JunSun1)=1,JunSun1+34,JunSun1+41)</f>
        <v>46214</v>
      </c>
      <c r="K10" s="3">
        <f ca="1">IF(DAY(JunSun1)=1,JunSun1+35,JunSun1+42)</f>
        <v>46215</v>
      </c>
      <c r="L10" s="30"/>
      <c r="M10" s="26"/>
      <c r="N10" s="77"/>
      <c r="O10" s="62"/>
      <c r="P10" s="62"/>
      <c r="Q10" s="78"/>
      <c r="S10" s="54"/>
    </row>
    <row r="11" spans="1:19" ht="30" customHeight="1" thickBot="1" x14ac:dyDescent="0.35">
      <c r="A11" s="58"/>
      <c r="B11" s="21"/>
      <c r="C11" s="31"/>
      <c r="D11" s="10"/>
      <c r="E11" s="10"/>
      <c r="F11" s="10"/>
      <c r="G11" s="10"/>
      <c r="H11" s="10"/>
      <c r="I11" s="10"/>
      <c r="J11" s="10"/>
      <c r="K11" s="10"/>
      <c r="L11" s="32"/>
      <c r="M11" s="33"/>
      <c r="N11" s="77"/>
      <c r="O11" s="62"/>
      <c r="P11" s="62"/>
      <c r="Q11" s="78"/>
      <c r="S11" s="54"/>
    </row>
    <row r="12" spans="1:19" ht="30" customHeight="1" thickTop="1" x14ac:dyDescent="0.25">
      <c r="A12" s="58"/>
      <c r="B12" s="21"/>
      <c r="C12" s="21"/>
      <c r="D12" s="34"/>
      <c r="E12" s="15"/>
      <c r="F12" s="15"/>
      <c r="G12" s="15"/>
      <c r="H12" s="15"/>
      <c r="I12" s="15"/>
      <c r="J12" s="15"/>
      <c r="K12" s="15"/>
      <c r="N12" s="75"/>
      <c r="O12" s="76"/>
      <c r="P12" s="76"/>
      <c r="Q12" s="65"/>
      <c r="S12" s="54"/>
    </row>
    <row r="13" spans="1:19" ht="30" customHeight="1" x14ac:dyDescent="0.25">
      <c r="A13" s="58"/>
      <c r="B13" s="21"/>
      <c r="C13" s="21"/>
      <c r="D13" s="2" t="s">
        <v>8</v>
      </c>
      <c r="E13" s="35"/>
      <c r="F13" s="35"/>
      <c r="G13" s="35"/>
      <c r="H13" s="35"/>
      <c r="I13" s="35"/>
      <c r="J13" s="35"/>
      <c r="K13" s="35"/>
      <c r="N13" s="75"/>
      <c r="O13" s="76"/>
      <c r="P13" s="76"/>
      <c r="Q13" s="65"/>
      <c r="S13" s="58"/>
    </row>
    <row r="14" spans="1:19" ht="30" customHeight="1" thickBot="1" x14ac:dyDescent="0.45">
      <c r="A14" s="58"/>
      <c r="B14" s="21"/>
      <c r="C14" s="21"/>
      <c r="D14" s="84"/>
      <c r="E14" s="37"/>
      <c r="F14" s="37"/>
      <c r="G14" s="37"/>
      <c r="H14" s="37"/>
      <c r="I14" s="37"/>
      <c r="J14" s="37"/>
      <c r="K14" s="37"/>
      <c r="L14" s="37"/>
      <c r="M14" s="36"/>
      <c r="N14" s="95" t="s">
        <v>20</v>
      </c>
      <c r="O14" s="95"/>
      <c r="P14" s="95"/>
      <c r="Q14" s="65"/>
      <c r="S14" s="54"/>
    </row>
    <row r="15" spans="1:19" ht="30" customHeight="1" thickTop="1" x14ac:dyDescent="0.3">
      <c r="A15" s="59"/>
      <c r="B15" s="38"/>
      <c r="C15" s="88" t="s">
        <v>20</v>
      </c>
      <c r="D15" s="89"/>
      <c r="E15" s="92" t="str">
        <f t="shared" ref="E15:H15" ca="1" si="0">TEXT(E5, "ddd dd/mm")</f>
        <v>Mon 01/06</v>
      </c>
      <c r="F15" s="92" t="str">
        <f t="shared" ca="1" si="0"/>
        <v>Tue 02/06</v>
      </c>
      <c r="G15" s="92" t="str">
        <f t="shared" ca="1" si="0"/>
        <v>Wed 03/06</v>
      </c>
      <c r="H15" s="92" t="str">
        <f t="shared" ca="1" si="0"/>
        <v>Thu 04/06</v>
      </c>
      <c r="I15" s="92" t="str">
        <f t="shared" ref="I15:K15" ca="1" si="1">TEXT(I5, "ddd dd/mm")</f>
        <v>Fri 05/06</v>
      </c>
      <c r="J15" s="92" t="str">
        <f t="shared" ca="1" si="1"/>
        <v>Sat 06/06</v>
      </c>
      <c r="K15" s="92" t="str">
        <f t="shared" ca="1" si="1"/>
        <v>Sun 07/06</v>
      </c>
      <c r="L15" s="39"/>
      <c r="M15" s="40"/>
      <c r="N15" s="96"/>
      <c r="O15" s="97"/>
      <c r="P15" s="97"/>
      <c r="Q15" s="98"/>
      <c r="S15" s="54"/>
    </row>
    <row r="16" spans="1:19" ht="30" customHeight="1" x14ac:dyDescent="0.3">
      <c r="A16" s="59"/>
      <c r="B16" s="38"/>
      <c r="C16" s="90"/>
      <c r="D16" s="91"/>
      <c r="E16" s="93"/>
      <c r="F16" s="93"/>
      <c r="G16" s="93"/>
      <c r="H16" s="93"/>
      <c r="I16" s="93"/>
      <c r="J16" s="93"/>
      <c r="K16" s="93"/>
      <c r="L16" s="41"/>
      <c r="N16" s="96"/>
      <c r="O16" s="97"/>
      <c r="P16" s="97"/>
      <c r="Q16" s="98"/>
      <c r="S16" s="54"/>
    </row>
    <row r="17" spans="1:19" ht="30" customHeight="1" x14ac:dyDescent="0.3">
      <c r="A17" s="59"/>
      <c r="B17" s="38"/>
      <c r="C17" s="42"/>
      <c r="D17" s="43"/>
      <c r="E17" s="86"/>
      <c r="F17" s="86"/>
      <c r="G17" s="86"/>
      <c r="H17" s="86"/>
      <c r="I17" s="86"/>
      <c r="J17" s="86"/>
      <c r="K17" s="86"/>
      <c r="L17" s="66"/>
      <c r="M17" s="67"/>
      <c r="N17" s="96"/>
      <c r="O17" s="97"/>
      <c r="P17" s="97"/>
      <c r="Q17" s="98"/>
      <c r="S17" s="54"/>
    </row>
    <row r="18" spans="1:19" ht="30" customHeight="1" x14ac:dyDescent="0.3">
      <c r="A18" s="59"/>
      <c r="B18" s="38"/>
      <c r="C18" s="42"/>
      <c r="D18" s="43"/>
      <c r="E18" s="86"/>
      <c r="F18" s="86"/>
      <c r="G18" s="86"/>
      <c r="H18" s="86"/>
      <c r="I18" s="86"/>
      <c r="J18" s="86"/>
      <c r="K18" s="86"/>
      <c r="L18" s="44"/>
      <c r="N18" s="96"/>
      <c r="O18" s="97"/>
      <c r="P18" s="97"/>
      <c r="Q18" s="98"/>
      <c r="S18" s="54"/>
    </row>
    <row r="19" spans="1:19" ht="30" customHeight="1" x14ac:dyDescent="0.3">
      <c r="A19" s="59"/>
      <c r="B19" s="38"/>
      <c r="C19" s="42"/>
      <c r="D19" s="43"/>
      <c r="E19" s="86"/>
      <c r="F19" s="86"/>
      <c r="G19" s="86"/>
      <c r="H19" s="86"/>
      <c r="I19" s="86"/>
      <c r="J19" s="86"/>
      <c r="K19" s="86"/>
      <c r="L19" s="45"/>
      <c r="N19" s="96"/>
      <c r="O19" s="97"/>
      <c r="P19" s="97"/>
      <c r="Q19" s="98"/>
      <c r="S19" s="54"/>
    </row>
    <row r="20" spans="1:19" ht="30" customHeight="1" x14ac:dyDescent="0.3">
      <c r="A20" s="59"/>
      <c r="B20" s="38"/>
      <c r="C20" s="42"/>
      <c r="D20" s="43"/>
      <c r="E20" s="86"/>
      <c r="F20" s="86"/>
      <c r="G20" s="86"/>
      <c r="H20" s="86"/>
      <c r="I20" s="86"/>
      <c r="J20" s="86"/>
      <c r="K20" s="86"/>
      <c r="L20" s="44"/>
      <c r="N20" s="96"/>
      <c r="O20" s="97"/>
      <c r="P20" s="97"/>
      <c r="Q20" s="98"/>
      <c r="S20" s="54"/>
    </row>
    <row r="21" spans="1:19" ht="30" customHeight="1" x14ac:dyDescent="0.3">
      <c r="A21" s="59"/>
      <c r="B21" s="38"/>
      <c r="C21" s="42"/>
      <c r="D21" s="43"/>
      <c r="E21" s="86"/>
      <c r="F21" s="86"/>
      <c r="G21" s="86"/>
      <c r="H21" s="86"/>
      <c r="I21" s="86"/>
      <c r="J21" s="86"/>
      <c r="K21" s="86"/>
      <c r="L21" s="45"/>
      <c r="N21" s="96"/>
      <c r="O21" s="97"/>
      <c r="P21" s="97"/>
      <c r="Q21" s="98"/>
      <c r="S21" s="54"/>
    </row>
    <row r="22" spans="1:19" ht="30" customHeight="1" x14ac:dyDescent="0.3">
      <c r="A22" s="59"/>
      <c r="B22" s="38"/>
      <c r="C22" s="42"/>
      <c r="D22" s="43"/>
      <c r="E22" s="86"/>
      <c r="F22" s="86"/>
      <c r="G22" s="86"/>
      <c r="H22" s="86"/>
      <c r="I22" s="86"/>
      <c r="J22" s="86"/>
      <c r="K22" s="86"/>
      <c r="L22" s="44"/>
      <c r="N22" s="96"/>
      <c r="O22" s="97"/>
      <c r="P22" s="97"/>
      <c r="Q22" s="98"/>
      <c r="S22" s="54"/>
    </row>
    <row r="23" spans="1:19" ht="30" customHeight="1" x14ac:dyDescent="0.3">
      <c r="A23" s="59"/>
      <c r="B23" s="38"/>
      <c r="C23" s="42"/>
      <c r="D23" s="43"/>
      <c r="E23" s="86"/>
      <c r="F23" s="86"/>
      <c r="G23" s="86"/>
      <c r="H23" s="86"/>
      <c r="I23" s="86"/>
      <c r="J23" s="86"/>
      <c r="K23" s="86"/>
      <c r="L23" s="45"/>
      <c r="N23" s="96"/>
      <c r="O23" s="97"/>
      <c r="P23" s="97"/>
      <c r="Q23" s="98"/>
      <c r="S23" s="54"/>
    </row>
    <row r="24" spans="1:19" ht="30" customHeight="1" x14ac:dyDescent="0.3">
      <c r="A24" s="59"/>
      <c r="B24" s="38"/>
      <c r="C24" s="42"/>
      <c r="D24" s="43"/>
      <c r="E24" s="86"/>
      <c r="F24" s="86"/>
      <c r="G24" s="86"/>
      <c r="H24" s="86"/>
      <c r="I24" s="86"/>
      <c r="J24" s="86"/>
      <c r="K24" s="86"/>
      <c r="L24" s="46"/>
      <c r="N24" s="96"/>
      <c r="O24" s="97"/>
      <c r="P24" s="97"/>
      <c r="Q24" s="98"/>
      <c r="S24" s="54"/>
    </row>
    <row r="25" spans="1:19" ht="30" customHeight="1" x14ac:dyDescent="0.3">
      <c r="A25" s="59"/>
      <c r="B25" s="38"/>
      <c r="C25" s="42"/>
      <c r="D25" s="43"/>
      <c r="E25" s="86"/>
      <c r="F25" s="86"/>
      <c r="G25" s="86"/>
      <c r="H25" s="86"/>
      <c r="I25" s="86"/>
      <c r="J25" s="86"/>
      <c r="K25" s="86"/>
      <c r="L25" s="46"/>
      <c r="N25" s="96"/>
      <c r="O25" s="97"/>
      <c r="P25" s="97"/>
      <c r="Q25" s="98"/>
      <c r="S25" s="54"/>
    </row>
    <row r="26" spans="1:19" ht="30" customHeight="1" thickBot="1" x14ac:dyDescent="0.35">
      <c r="A26" s="59"/>
      <c r="B26" s="38"/>
      <c r="C26" s="47"/>
      <c r="D26" s="48"/>
      <c r="E26" s="87"/>
      <c r="F26" s="87"/>
      <c r="G26" s="87"/>
      <c r="H26" s="87"/>
      <c r="I26" s="87"/>
      <c r="J26" s="87"/>
      <c r="K26" s="87"/>
      <c r="L26" s="49"/>
      <c r="N26" s="96"/>
      <c r="O26" s="97"/>
      <c r="P26" s="97"/>
      <c r="Q26" s="98"/>
      <c r="S26" s="54"/>
    </row>
    <row r="27" spans="1:19" ht="30" customHeight="1" thickTop="1" x14ac:dyDescent="0.3">
      <c r="A27" s="59"/>
      <c r="B27" s="38"/>
      <c r="C27" s="38"/>
      <c r="D27" s="63"/>
      <c r="E27" s="63"/>
      <c r="F27" s="63"/>
      <c r="G27" s="63"/>
      <c r="H27" s="63"/>
      <c r="I27" s="63"/>
      <c r="J27" s="63"/>
      <c r="K27" s="63"/>
      <c r="L27" s="63"/>
      <c r="N27" s="64"/>
      <c r="O27" s="64"/>
      <c r="P27" s="62"/>
      <c r="Q27" s="65"/>
      <c r="S27" s="54"/>
    </row>
    <row r="28" spans="1:19" ht="30" customHeight="1" thickBot="1" x14ac:dyDescent="0.45">
      <c r="A28" s="58"/>
      <c r="B28" s="21"/>
      <c r="C28" s="21"/>
      <c r="D28" s="84"/>
      <c r="E28" s="37"/>
      <c r="F28" s="37"/>
      <c r="G28" s="37"/>
      <c r="H28" s="37"/>
      <c r="I28" s="37"/>
      <c r="J28" s="37"/>
      <c r="K28" s="37"/>
      <c r="L28" s="37"/>
      <c r="M28" s="36"/>
      <c r="N28" s="95" t="s">
        <v>21</v>
      </c>
      <c r="O28" s="95"/>
      <c r="P28" s="95"/>
      <c r="Q28" s="65"/>
      <c r="S28" s="54"/>
    </row>
    <row r="29" spans="1:19" ht="30" customHeight="1" thickTop="1" x14ac:dyDescent="0.3">
      <c r="A29" s="59"/>
      <c r="B29" s="38"/>
      <c r="C29" s="88" t="s">
        <v>21</v>
      </c>
      <c r="D29" s="89"/>
      <c r="E29" s="92" t="str">
        <f ca="1">TEXT(E6, "ddd dd/mm")</f>
        <v>Mon 08/06</v>
      </c>
      <c r="F29" s="92" t="str">
        <f t="shared" ref="F29:J29" ca="1" si="2">TEXT(F6, "ddd dd/mm")</f>
        <v>Tue 09/06</v>
      </c>
      <c r="G29" s="92" t="str">
        <f t="shared" ca="1" si="2"/>
        <v>Wed 10/06</v>
      </c>
      <c r="H29" s="92" t="str">
        <f t="shared" ca="1" si="2"/>
        <v>Thu 11/06</v>
      </c>
      <c r="I29" s="92" t="str">
        <f t="shared" ca="1" si="2"/>
        <v>Fri 12/06</v>
      </c>
      <c r="J29" s="92" t="str">
        <f t="shared" ca="1" si="2"/>
        <v>Sat 13/06</v>
      </c>
      <c r="K29" s="92" t="str">
        <f ca="1">TEXT(K6, "ddd dd/mm")</f>
        <v>Sun 14/06</v>
      </c>
      <c r="L29" s="39"/>
      <c r="M29" s="40"/>
      <c r="N29" s="96"/>
      <c r="O29" s="97"/>
      <c r="P29" s="97"/>
      <c r="Q29" s="98"/>
      <c r="S29" s="54"/>
    </row>
    <row r="30" spans="1:19" ht="30" customHeight="1" x14ac:dyDescent="0.3">
      <c r="A30" s="59"/>
      <c r="B30" s="38"/>
      <c r="C30" s="90"/>
      <c r="D30" s="91"/>
      <c r="E30" s="93"/>
      <c r="F30" s="93"/>
      <c r="G30" s="93"/>
      <c r="H30" s="93"/>
      <c r="I30" s="93"/>
      <c r="J30" s="93"/>
      <c r="K30" s="93"/>
      <c r="L30" s="41"/>
      <c r="N30" s="96"/>
      <c r="O30" s="97"/>
      <c r="P30" s="97"/>
      <c r="Q30" s="98"/>
      <c r="S30" s="54"/>
    </row>
    <row r="31" spans="1:19" ht="30" customHeight="1" x14ac:dyDescent="0.3">
      <c r="A31" s="59"/>
      <c r="B31" s="38"/>
      <c r="C31" s="42"/>
      <c r="D31" s="43"/>
      <c r="E31" s="86"/>
      <c r="F31" s="86"/>
      <c r="G31" s="86"/>
      <c r="H31" s="86"/>
      <c r="I31" s="86"/>
      <c r="J31" s="86"/>
      <c r="K31" s="86"/>
      <c r="L31" s="66"/>
      <c r="M31" s="67"/>
      <c r="N31" s="96"/>
      <c r="O31" s="97"/>
      <c r="P31" s="97"/>
      <c r="Q31" s="98"/>
      <c r="S31" s="54"/>
    </row>
    <row r="32" spans="1:19" ht="30" customHeight="1" x14ac:dyDescent="0.3">
      <c r="A32" s="59"/>
      <c r="B32" s="38"/>
      <c r="C32" s="42"/>
      <c r="D32" s="43"/>
      <c r="E32" s="86"/>
      <c r="F32" s="86"/>
      <c r="G32" s="86"/>
      <c r="H32" s="86"/>
      <c r="I32" s="86"/>
      <c r="J32" s="86"/>
      <c r="K32" s="86"/>
      <c r="L32" s="44"/>
      <c r="N32" s="96"/>
      <c r="O32" s="97"/>
      <c r="P32" s="97"/>
      <c r="Q32" s="98"/>
      <c r="S32" s="54"/>
    </row>
    <row r="33" spans="1:19" ht="30" customHeight="1" x14ac:dyDescent="0.3">
      <c r="A33" s="59"/>
      <c r="B33" s="38"/>
      <c r="C33" s="42"/>
      <c r="D33" s="43"/>
      <c r="E33" s="86"/>
      <c r="F33" s="86"/>
      <c r="G33" s="86"/>
      <c r="H33" s="86"/>
      <c r="I33" s="86"/>
      <c r="J33" s="86"/>
      <c r="K33" s="86"/>
      <c r="L33" s="45"/>
      <c r="N33" s="96"/>
      <c r="O33" s="97"/>
      <c r="P33" s="97"/>
      <c r="Q33" s="98"/>
      <c r="S33" s="54"/>
    </row>
    <row r="34" spans="1:19" ht="30" customHeight="1" x14ac:dyDescent="0.3">
      <c r="A34" s="59"/>
      <c r="B34" s="38"/>
      <c r="C34" s="42"/>
      <c r="D34" s="43"/>
      <c r="E34" s="86"/>
      <c r="F34" s="86"/>
      <c r="G34" s="86"/>
      <c r="H34" s="86"/>
      <c r="I34" s="86"/>
      <c r="J34" s="86"/>
      <c r="K34" s="86"/>
      <c r="L34" s="44"/>
      <c r="N34" s="96"/>
      <c r="O34" s="97"/>
      <c r="P34" s="97"/>
      <c r="Q34" s="98"/>
      <c r="S34" s="54"/>
    </row>
    <row r="35" spans="1:19" ht="30" customHeight="1" x14ac:dyDescent="0.3">
      <c r="A35" s="59"/>
      <c r="B35" s="38"/>
      <c r="C35" s="42"/>
      <c r="D35" s="43"/>
      <c r="E35" s="86"/>
      <c r="F35" s="86"/>
      <c r="G35" s="86"/>
      <c r="H35" s="86"/>
      <c r="I35" s="86"/>
      <c r="J35" s="86"/>
      <c r="K35" s="86"/>
      <c r="L35" s="45"/>
      <c r="N35" s="96"/>
      <c r="O35" s="97"/>
      <c r="P35" s="97"/>
      <c r="Q35" s="98"/>
      <c r="S35" s="54"/>
    </row>
    <row r="36" spans="1:19" ht="30" customHeight="1" x14ac:dyDescent="0.3">
      <c r="A36" s="59"/>
      <c r="B36" s="38"/>
      <c r="C36" s="42"/>
      <c r="D36" s="43"/>
      <c r="E36" s="86"/>
      <c r="F36" s="86"/>
      <c r="G36" s="86"/>
      <c r="H36" s="86"/>
      <c r="I36" s="86"/>
      <c r="J36" s="86"/>
      <c r="K36" s="86"/>
      <c r="L36" s="44"/>
      <c r="N36" s="96"/>
      <c r="O36" s="97"/>
      <c r="P36" s="97"/>
      <c r="Q36" s="98"/>
      <c r="S36" s="54"/>
    </row>
    <row r="37" spans="1:19" ht="30" customHeight="1" x14ac:dyDescent="0.3">
      <c r="A37" s="59"/>
      <c r="B37" s="38"/>
      <c r="C37" s="42"/>
      <c r="D37" s="43"/>
      <c r="E37" s="86"/>
      <c r="F37" s="86"/>
      <c r="G37" s="86"/>
      <c r="H37" s="86"/>
      <c r="I37" s="86"/>
      <c r="J37" s="86"/>
      <c r="K37" s="86"/>
      <c r="L37" s="45"/>
      <c r="N37" s="96"/>
      <c r="O37" s="97"/>
      <c r="P37" s="97"/>
      <c r="Q37" s="98"/>
      <c r="S37" s="54"/>
    </row>
    <row r="38" spans="1:19" ht="30" customHeight="1" x14ac:dyDescent="0.3">
      <c r="A38" s="59"/>
      <c r="B38" s="38"/>
      <c r="C38" s="42"/>
      <c r="D38" s="43"/>
      <c r="E38" s="86"/>
      <c r="F38" s="86"/>
      <c r="G38" s="86"/>
      <c r="H38" s="86"/>
      <c r="I38" s="86"/>
      <c r="J38" s="86"/>
      <c r="K38" s="86"/>
      <c r="L38" s="46"/>
      <c r="N38" s="96"/>
      <c r="O38" s="97"/>
      <c r="P38" s="97"/>
      <c r="Q38" s="98"/>
      <c r="S38" s="54"/>
    </row>
    <row r="39" spans="1:19" ht="30" customHeight="1" x14ac:dyDescent="0.3">
      <c r="A39" s="59"/>
      <c r="B39" s="38"/>
      <c r="C39" s="42"/>
      <c r="D39" s="43"/>
      <c r="E39" s="86"/>
      <c r="F39" s="86"/>
      <c r="G39" s="86"/>
      <c r="H39" s="86"/>
      <c r="I39" s="86"/>
      <c r="J39" s="86"/>
      <c r="K39" s="86"/>
      <c r="L39" s="46"/>
      <c r="N39" s="96"/>
      <c r="O39" s="97"/>
      <c r="P39" s="97"/>
      <c r="Q39" s="98"/>
      <c r="S39" s="54"/>
    </row>
    <row r="40" spans="1:19" ht="30" customHeight="1" thickBot="1" x14ac:dyDescent="0.35">
      <c r="A40" s="59"/>
      <c r="B40" s="38"/>
      <c r="C40" s="47"/>
      <c r="D40" s="48"/>
      <c r="E40" s="87"/>
      <c r="F40" s="87"/>
      <c r="G40" s="87"/>
      <c r="H40" s="87"/>
      <c r="I40" s="87"/>
      <c r="J40" s="87"/>
      <c r="K40" s="87"/>
      <c r="L40" s="49"/>
      <c r="N40" s="96"/>
      <c r="O40" s="97"/>
      <c r="P40" s="97"/>
      <c r="Q40" s="98"/>
      <c r="S40" s="54"/>
    </row>
    <row r="41" spans="1:19" ht="30" customHeight="1" thickTop="1" x14ac:dyDescent="0.3">
      <c r="A41" s="59"/>
      <c r="B41" s="38"/>
      <c r="C41" s="38"/>
      <c r="D41" s="63"/>
      <c r="E41" s="63"/>
      <c r="F41" s="63"/>
      <c r="G41" s="63"/>
      <c r="H41" s="63"/>
      <c r="I41" s="63"/>
      <c r="J41" s="63"/>
      <c r="K41" s="63"/>
      <c r="L41" s="63"/>
      <c r="N41" s="64"/>
      <c r="O41" s="64"/>
      <c r="P41" s="62"/>
      <c r="Q41" s="65"/>
      <c r="S41" s="54"/>
    </row>
    <row r="42" spans="1:19" ht="30" customHeight="1" thickBot="1" x14ac:dyDescent="0.45">
      <c r="A42" s="59"/>
      <c r="B42" s="38"/>
      <c r="C42" s="38"/>
      <c r="D42" s="84"/>
      <c r="E42" s="37"/>
      <c r="F42" s="37"/>
      <c r="G42" s="37"/>
      <c r="H42" s="37"/>
      <c r="I42" s="37"/>
      <c r="J42" s="37"/>
      <c r="K42" s="37"/>
      <c r="L42" s="48"/>
      <c r="N42" s="95" t="s">
        <v>22</v>
      </c>
      <c r="O42" s="95"/>
      <c r="P42" s="95"/>
      <c r="Q42" s="65"/>
      <c r="S42" s="54"/>
    </row>
    <row r="43" spans="1:19" ht="30" customHeight="1" thickTop="1" x14ac:dyDescent="0.3">
      <c r="A43" s="59"/>
      <c r="B43" s="38"/>
      <c r="C43" s="88" t="s">
        <v>22</v>
      </c>
      <c r="D43" s="89"/>
      <c r="E43" s="92" t="str">
        <f ca="1">TEXT(E7, "ddd dd/mm")</f>
        <v>Mon 15/06</v>
      </c>
      <c r="F43" s="92" t="str">
        <f t="shared" ref="F43:K43" ca="1" si="3">TEXT(F7, "ddd dd/mm")</f>
        <v>Tue 16/06</v>
      </c>
      <c r="G43" s="92" t="str">
        <f t="shared" ca="1" si="3"/>
        <v>Wed 17/06</v>
      </c>
      <c r="H43" s="92" t="str">
        <f t="shared" ca="1" si="3"/>
        <v>Thu 18/06</v>
      </c>
      <c r="I43" s="92" t="str">
        <f t="shared" ca="1" si="3"/>
        <v>Fri 19/06</v>
      </c>
      <c r="J43" s="92" t="str">
        <f t="shared" ca="1" si="3"/>
        <v>Sat 20/06</v>
      </c>
      <c r="K43" s="92" t="str">
        <f t="shared" ca="1" si="3"/>
        <v>Sun 21/06</v>
      </c>
      <c r="L43" s="39"/>
      <c r="N43" s="96"/>
      <c r="O43" s="97"/>
      <c r="P43" s="97"/>
      <c r="Q43" s="98"/>
      <c r="S43" s="54"/>
    </row>
    <row r="44" spans="1:19" ht="30" customHeight="1" x14ac:dyDescent="0.3">
      <c r="A44" s="59"/>
      <c r="B44" s="38"/>
      <c r="C44" s="90"/>
      <c r="D44" s="91"/>
      <c r="E44" s="93"/>
      <c r="F44" s="93"/>
      <c r="G44" s="93"/>
      <c r="H44" s="93"/>
      <c r="I44" s="93"/>
      <c r="J44" s="93"/>
      <c r="K44" s="93"/>
      <c r="L44" s="41"/>
      <c r="N44" s="96"/>
      <c r="O44" s="97"/>
      <c r="P44" s="97"/>
      <c r="Q44" s="98"/>
      <c r="S44" s="54"/>
    </row>
    <row r="45" spans="1:19" ht="30" customHeight="1" x14ac:dyDescent="0.3">
      <c r="A45" s="59"/>
      <c r="B45" s="38"/>
      <c r="C45" s="42"/>
      <c r="D45" s="43"/>
      <c r="E45" s="86"/>
      <c r="F45" s="86"/>
      <c r="G45" s="86"/>
      <c r="H45" s="86"/>
      <c r="I45" s="86"/>
      <c r="J45" s="86"/>
      <c r="K45" s="86"/>
      <c r="L45" s="66"/>
      <c r="N45" s="96"/>
      <c r="O45" s="97"/>
      <c r="P45" s="97"/>
      <c r="Q45" s="98"/>
      <c r="S45" s="54"/>
    </row>
    <row r="46" spans="1:19" ht="30" customHeight="1" x14ac:dyDescent="0.3">
      <c r="A46" s="59"/>
      <c r="B46" s="38"/>
      <c r="C46" s="42"/>
      <c r="D46" s="43"/>
      <c r="E46" s="86"/>
      <c r="F46" s="86"/>
      <c r="G46" s="86"/>
      <c r="H46" s="86"/>
      <c r="I46" s="86"/>
      <c r="J46" s="86"/>
      <c r="K46" s="86"/>
      <c r="L46" s="44"/>
      <c r="N46" s="96"/>
      <c r="O46" s="97"/>
      <c r="P46" s="97"/>
      <c r="Q46" s="98"/>
      <c r="S46" s="54"/>
    </row>
    <row r="47" spans="1:19" ht="30" customHeight="1" x14ac:dyDescent="0.3">
      <c r="A47" s="59"/>
      <c r="B47" s="38"/>
      <c r="C47" s="42"/>
      <c r="D47" s="43"/>
      <c r="E47" s="86"/>
      <c r="F47" s="86"/>
      <c r="G47" s="86"/>
      <c r="H47" s="86"/>
      <c r="I47" s="86"/>
      <c r="J47" s="86"/>
      <c r="K47" s="86"/>
      <c r="L47" s="45"/>
      <c r="N47" s="96"/>
      <c r="O47" s="97"/>
      <c r="P47" s="97"/>
      <c r="Q47" s="98"/>
      <c r="S47" s="54"/>
    </row>
    <row r="48" spans="1:19" ht="30" customHeight="1" x14ac:dyDescent="0.3">
      <c r="A48" s="59"/>
      <c r="B48" s="38"/>
      <c r="C48" s="42"/>
      <c r="D48" s="43"/>
      <c r="E48" s="86"/>
      <c r="F48" s="86"/>
      <c r="G48" s="86"/>
      <c r="H48" s="86"/>
      <c r="I48" s="86"/>
      <c r="J48" s="86"/>
      <c r="K48" s="86"/>
      <c r="L48" s="44"/>
      <c r="N48" s="96"/>
      <c r="O48" s="97"/>
      <c r="P48" s="97"/>
      <c r="Q48" s="98"/>
      <c r="S48" s="54"/>
    </row>
    <row r="49" spans="1:19" ht="30" customHeight="1" x14ac:dyDescent="0.3">
      <c r="A49" s="59"/>
      <c r="B49" s="38"/>
      <c r="C49" s="42"/>
      <c r="D49" s="43"/>
      <c r="E49" s="86"/>
      <c r="F49" s="86"/>
      <c r="G49" s="86"/>
      <c r="H49" s="86"/>
      <c r="I49" s="86"/>
      <c r="J49" s="86"/>
      <c r="K49" s="86"/>
      <c r="L49" s="45"/>
      <c r="N49" s="96"/>
      <c r="O49" s="97"/>
      <c r="P49" s="97"/>
      <c r="Q49" s="98"/>
      <c r="S49" s="54"/>
    </row>
    <row r="50" spans="1:19" ht="30" customHeight="1" x14ac:dyDescent="0.3">
      <c r="A50" s="59"/>
      <c r="B50" s="38"/>
      <c r="C50" s="42"/>
      <c r="D50" s="43"/>
      <c r="E50" s="86"/>
      <c r="F50" s="86"/>
      <c r="G50" s="86"/>
      <c r="H50" s="86"/>
      <c r="I50" s="86"/>
      <c r="J50" s="86"/>
      <c r="K50" s="86"/>
      <c r="L50" s="44"/>
      <c r="N50" s="96"/>
      <c r="O50" s="97"/>
      <c r="P50" s="97"/>
      <c r="Q50" s="98"/>
      <c r="S50" s="54"/>
    </row>
    <row r="51" spans="1:19" ht="30" customHeight="1" x14ac:dyDescent="0.3">
      <c r="A51" s="59"/>
      <c r="B51" s="38"/>
      <c r="C51" s="42"/>
      <c r="D51" s="43"/>
      <c r="E51" s="86"/>
      <c r="F51" s="86"/>
      <c r="G51" s="86"/>
      <c r="H51" s="86"/>
      <c r="I51" s="86"/>
      <c r="J51" s="86"/>
      <c r="K51" s="86"/>
      <c r="L51" s="45"/>
      <c r="N51" s="96"/>
      <c r="O51" s="97"/>
      <c r="P51" s="97"/>
      <c r="Q51" s="98"/>
      <c r="S51" s="54"/>
    </row>
    <row r="52" spans="1:19" ht="30" customHeight="1" x14ac:dyDescent="0.3">
      <c r="A52" s="59"/>
      <c r="B52" s="38"/>
      <c r="C52" s="42"/>
      <c r="D52" s="43"/>
      <c r="E52" s="86"/>
      <c r="F52" s="86"/>
      <c r="G52" s="86"/>
      <c r="H52" s="86"/>
      <c r="I52" s="86"/>
      <c r="J52" s="86"/>
      <c r="K52" s="86"/>
      <c r="L52" s="46"/>
      <c r="N52" s="96"/>
      <c r="O52" s="97"/>
      <c r="P52" s="97"/>
      <c r="Q52" s="98"/>
      <c r="S52" s="54"/>
    </row>
    <row r="53" spans="1:19" ht="30" customHeight="1" x14ac:dyDescent="0.3">
      <c r="A53" s="59"/>
      <c r="B53" s="38"/>
      <c r="C53" s="42"/>
      <c r="D53" s="43"/>
      <c r="E53" s="86"/>
      <c r="F53" s="86"/>
      <c r="G53" s="86"/>
      <c r="H53" s="86"/>
      <c r="I53" s="86"/>
      <c r="J53" s="86"/>
      <c r="K53" s="86"/>
      <c r="L53" s="46"/>
      <c r="N53" s="96"/>
      <c r="O53" s="97"/>
      <c r="P53" s="97"/>
      <c r="Q53" s="98"/>
      <c r="S53" s="54"/>
    </row>
    <row r="54" spans="1:19" ht="30" customHeight="1" thickBot="1" x14ac:dyDescent="0.35">
      <c r="A54" s="59"/>
      <c r="B54" s="38"/>
      <c r="C54" s="47"/>
      <c r="D54" s="48"/>
      <c r="E54" s="87"/>
      <c r="F54" s="87"/>
      <c r="G54" s="87"/>
      <c r="H54" s="87"/>
      <c r="I54" s="87"/>
      <c r="J54" s="87"/>
      <c r="K54" s="87"/>
      <c r="L54" s="49"/>
      <c r="N54" s="96"/>
      <c r="O54" s="97"/>
      <c r="P54" s="97"/>
      <c r="Q54" s="98"/>
      <c r="S54" s="54"/>
    </row>
    <row r="55" spans="1:19" ht="30" customHeight="1" thickTop="1" x14ac:dyDescent="0.3">
      <c r="A55" s="59"/>
      <c r="B55" s="38"/>
      <c r="C55" s="38"/>
      <c r="D55" s="63"/>
      <c r="E55" s="63"/>
      <c r="F55" s="63"/>
      <c r="G55" s="63"/>
      <c r="H55" s="63"/>
      <c r="I55" s="63"/>
      <c r="J55" s="63"/>
      <c r="K55" s="63"/>
      <c r="L55" s="63"/>
      <c r="N55" s="64"/>
      <c r="O55" s="64"/>
      <c r="P55" s="62"/>
      <c r="Q55" s="65"/>
      <c r="S55" s="54"/>
    </row>
    <row r="56" spans="1:19" ht="30" customHeight="1" thickBot="1" x14ac:dyDescent="0.45">
      <c r="A56" s="59"/>
      <c r="B56" s="38"/>
      <c r="C56" s="38"/>
      <c r="D56" s="84"/>
      <c r="E56" s="63"/>
      <c r="F56" s="63"/>
      <c r="G56" s="63"/>
      <c r="H56" s="63"/>
      <c r="I56" s="63"/>
      <c r="J56" s="63"/>
      <c r="K56" s="63"/>
      <c r="L56" s="63"/>
      <c r="N56" s="95" t="s">
        <v>23</v>
      </c>
      <c r="O56" s="95"/>
      <c r="P56" s="95"/>
      <c r="Q56" s="65"/>
      <c r="S56" s="54"/>
    </row>
    <row r="57" spans="1:19" ht="30" customHeight="1" thickTop="1" x14ac:dyDescent="0.3">
      <c r="A57" s="59"/>
      <c r="B57" s="38"/>
      <c r="C57" s="88" t="s">
        <v>23</v>
      </c>
      <c r="D57" s="89"/>
      <c r="E57" s="92" t="str">
        <f ca="1">TEXT(E8, "ddd dd/mm")</f>
        <v>Mon 22/06</v>
      </c>
      <c r="F57" s="92" t="str">
        <f t="shared" ref="F57:K57" ca="1" si="4">TEXT(F8, "ddd dd/mm")</f>
        <v>Tue 23/06</v>
      </c>
      <c r="G57" s="92" t="str">
        <f t="shared" ca="1" si="4"/>
        <v>Wed 24/06</v>
      </c>
      <c r="H57" s="92" t="str">
        <f t="shared" ca="1" si="4"/>
        <v>Thu 25/06</v>
      </c>
      <c r="I57" s="92" t="str">
        <f t="shared" ca="1" si="4"/>
        <v>Fri 26/06</v>
      </c>
      <c r="J57" s="92" t="str">
        <f t="shared" ca="1" si="4"/>
        <v>Sat 27/06</v>
      </c>
      <c r="K57" s="92" t="str">
        <f t="shared" ca="1" si="4"/>
        <v>Sun 28/06</v>
      </c>
      <c r="L57" s="39"/>
      <c r="N57" s="96"/>
      <c r="O57" s="97"/>
      <c r="P57" s="97"/>
      <c r="Q57" s="98"/>
      <c r="S57" s="54"/>
    </row>
    <row r="58" spans="1:19" ht="30" customHeight="1" x14ac:dyDescent="0.3">
      <c r="A58" s="59"/>
      <c r="B58" s="38"/>
      <c r="C58" s="90"/>
      <c r="D58" s="91"/>
      <c r="E58" s="93"/>
      <c r="F58" s="93"/>
      <c r="G58" s="93"/>
      <c r="H58" s="93"/>
      <c r="I58" s="93"/>
      <c r="J58" s="93"/>
      <c r="K58" s="93"/>
      <c r="L58" s="41"/>
      <c r="N58" s="96"/>
      <c r="O58" s="97"/>
      <c r="P58" s="97"/>
      <c r="Q58" s="98"/>
      <c r="S58" s="54"/>
    </row>
    <row r="59" spans="1:19" ht="30" customHeight="1" x14ac:dyDescent="0.3">
      <c r="A59" s="59"/>
      <c r="B59" s="38"/>
      <c r="C59" s="42"/>
      <c r="D59" s="43"/>
      <c r="E59" s="86"/>
      <c r="F59" s="86"/>
      <c r="G59" s="86"/>
      <c r="H59" s="86"/>
      <c r="I59" s="86"/>
      <c r="J59" s="86"/>
      <c r="K59" s="86"/>
      <c r="L59" s="66"/>
      <c r="N59" s="96"/>
      <c r="O59" s="97"/>
      <c r="P59" s="97"/>
      <c r="Q59" s="98"/>
      <c r="S59" s="54"/>
    </row>
    <row r="60" spans="1:19" ht="30" customHeight="1" x14ac:dyDescent="0.3">
      <c r="A60" s="59"/>
      <c r="B60" s="38"/>
      <c r="C60" s="42"/>
      <c r="D60" s="43"/>
      <c r="E60" s="86"/>
      <c r="F60" s="86"/>
      <c r="G60" s="86"/>
      <c r="H60" s="86"/>
      <c r="I60" s="86"/>
      <c r="J60" s="86"/>
      <c r="K60" s="86"/>
      <c r="L60" s="44"/>
      <c r="N60" s="96"/>
      <c r="O60" s="97"/>
      <c r="P60" s="97"/>
      <c r="Q60" s="98"/>
      <c r="S60" s="54"/>
    </row>
    <row r="61" spans="1:19" ht="30" customHeight="1" x14ac:dyDescent="0.3">
      <c r="A61" s="59"/>
      <c r="B61" s="38"/>
      <c r="C61" s="42"/>
      <c r="D61" s="43"/>
      <c r="E61" s="86"/>
      <c r="F61" s="86"/>
      <c r="G61" s="86"/>
      <c r="H61" s="86"/>
      <c r="I61" s="86"/>
      <c r="J61" s="86"/>
      <c r="K61" s="86"/>
      <c r="L61" s="45"/>
      <c r="N61" s="96"/>
      <c r="O61" s="97"/>
      <c r="P61" s="97"/>
      <c r="Q61" s="98"/>
      <c r="S61" s="54"/>
    </row>
    <row r="62" spans="1:19" ht="30" customHeight="1" x14ac:dyDescent="0.3">
      <c r="A62" s="59"/>
      <c r="B62" s="38"/>
      <c r="C62" s="42"/>
      <c r="D62" s="43"/>
      <c r="E62" s="86"/>
      <c r="F62" s="86"/>
      <c r="G62" s="86"/>
      <c r="H62" s="86"/>
      <c r="I62" s="86"/>
      <c r="J62" s="86"/>
      <c r="K62" s="86"/>
      <c r="L62" s="44"/>
      <c r="N62" s="96"/>
      <c r="O62" s="97"/>
      <c r="P62" s="97"/>
      <c r="Q62" s="98"/>
      <c r="S62" s="54"/>
    </row>
    <row r="63" spans="1:19" ht="30" customHeight="1" x14ac:dyDescent="0.3">
      <c r="A63" s="59"/>
      <c r="B63" s="38"/>
      <c r="C63" s="42"/>
      <c r="D63" s="43"/>
      <c r="E63" s="86"/>
      <c r="F63" s="86"/>
      <c r="G63" s="86"/>
      <c r="H63" s="86"/>
      <c r="I63" s="86"/>
      <c r="J63" s="86"/>
      <c r="K63" s="86"/>
      <c r="L63" s="45"/>
      <c r="N63" s="96"/>
      <c r="O63" s="97"/>
      <c r="P63" s="97"/>
      <c r="Q63" s="98"/>
      <c r="S63" s="54"/>
    </row>
    <row r="64" spans="1:19" ht="30" customHeight="1" x14ac:dyDescent="0.3">
      <c r="A64" s="59"/>
      <c r="B64" s="38"/>
      <c r="C64" s="42"/>
      <c r="D64" s="43"/>
      <c r="E64" s="86"/>
      <c r="F64" s="86"/>
      <c r="G64" s="86"/>
      <c r="H64" s="86"/>
      <c r="I64" s="86"/>
      <c r="J64" s="86"/>
      <c r="K64" s="86"/>
      <c r="L64" s="44"/>
      <c r="N64" s="96"/>
      <c r="O64" s="97"/>
      <c r="P64" s="97"/>
      <c r="Q64" s="98"/>
      <c r="S64" s="54"/>
    </row>
    <row r="65" spans="1:21" ht="30" customHeight="1" x14ac:dyDescent="0.3">
      <c r="A65" s="59"/>
      <c r="B65" s="38"/>
      <c r="C65" s="42"/>
      <c r="D65" s="43"/>
      <c r="E65" s="86"/>
      <c r="F65" s="86"/>
      <c r="G65" s="86"/>
      <c r="H65" s="86"/>
      <c r="I65" s="86"/>
      <c r="J65" s="86"/>
      <c r="K65" s="86"/>
      <c r="L65" s="45"/>
      <c r="N65" s="96"/>
      <c r="O65" s="97"/>
      <c r="P65" s="97"/>
      <c r="Q65" s="98"/>
      <c r="S65" s="54"/>
    </row>
    <row r="66" spans="1:21" ht="30" customHeight="1" x14ac:dyDescent="0.3">
      <c r="A66" s="59"/>
      <c r="B66" s="38"/>
      <c r="C66" s="42"/>
      <c r="D66" s="43"/>
      <c r="E66" s="86"/>
      <c r="F66" s="86"/>
      <c r="G66" s="86"/>
      <c r="H66" s="86"/>
      <c r="I66" s="86"/>
      <c r="J66" s="86"/>
      <c r="K66" s="86"/>
      <c r="L66" s="46"/>
      <c r="N66" s="96"/>
      <c r="O66" s="97"/>
      <c r="P66" s="97"/>
      <c r="Q66" s="98"/>
      <c r="S66" s="54"/>
    </row>
    <row r="67" spans="1:21" ht="30" customHeight="1" x14ac:dyDescent="0.3">
      <c r="A67" s="59"/>
      <c r="B67" s="38"/>
      <c r="C67" s="42"/>
      <c r="D67" s="43"/>
      <c r="E67" s="86"/>
      <c r="F67" s="86"/>
      <c r="G67" s="86"/>
      <c r="H67" s="86"/>
      <c r="I67" s="86"/>
      <c r="J67" s="86"/>
      <c r="K67" s="86"/>
      <c r="L67" s="46"/>
      <c r="N67" s="96"/>
      <c r="O67" s="97"/>
      <c r="P67" s="97"/>
      <c r="Q67" s="98"/>
      <c r="S67" s="54"/>
    </row>
    <row r="68" spans="1:21" ht="30" customHeight="1" thickBot="1" x14ac:dyDescent="0.35">
      <c r="A68" s="59"/>
      <c r="B68" s="38"/>
      <c r="C68" s="47"/>
      <c r="D68" s="48"/>
      <c r="E68" s="87"/>
      <c r="F68" s="87"/>
      <c r="G68" s="87"/>
      <c r="H68" s="87"/>
      <c r="I68" s="87"/>
      <c r="J68" s="87"/>
      <c r="K68" s="87"/>
      <c r="L68" s="49"/>
      <c r="N68" s="96"/>
      <c r="O68" s="97"/>
      <c r="P68" s="97"/>
      <c r="Q68" s="98"/>
      <c r="S68" s="54"/>
    </row>
    <row r="69" spans="1:21" ht="30" customHeight="1" thickTop="1" x14ac:dyDescent="0.3">
      <c r="A69" s="59"/>
      <c r="B69" s="38"/>
      <c r="C69" s="38"/>
      <c r="D69" s="63"/>
      <c r="E69" s="63"/>
      <c r="F69" s="63"/>
      <c r="G69" s="63"/>
      <c r="H69" s="63"/>
      <c r="I69" s="63"/>
      <c r="J69" s="63"/>
      <c r="K69" s="63"/>
      <c r="L69" s="63"/>
      <c r="N69" s="64"/>
      <c r="O69" s="64"/>
      <c r="P69" s="62"/>
      <c r="Q69" s="65"/>
      <c r="S69" s="54"/>
    </row>
    <row r="70" spans="1:21" ht="30" customHeight="1" thickBot="1" x14ac:dyDescent="0.45">
      <c r="A70" s="59"/>
      <c r="B70" s="38"/>
      <c r="C70" s="38"/>
      <c r="D70" s="1"/>
      <c r="E70" s="63"/>
      <c r="F70" s="63"/>
      <c r="G70" s="63"/>
      <c r="H70" s="63"/>
      <c r="I70" s="63"/>
      <c r="J70" s="63"/>
      <c r="K70" s="63"/>
      <c r="L70" s="63"/>
      <c r="N70" s="95" t="s">
        <v>24</v>
      </c>
      <c r="O70" s="95"/>
      <c r="P70" s="95"/>
      <c r="Q70" s="65"/>
      <c r="S70" s="54"/>
    </row>
    <row r="71" spans="1:21" ht="30" customHeight="1" thickTop="1" x14ac:dyDescent="0.3">
      <c r="A71" s="59"/>
      <c r="B71" s="38"/>
      <c r="C71" s="88" t="s">
        <v>24</v>
      </c>
      <c r="D71" s="89"/>
      <c r="E71" s="92" t="str">
        <f ca="1">TEXT(E9, "ddd dd/mm")</f>
        <v>Mon 29/06</v>
      </c>
      <c r="F71" s="92" t="str">
        <f t="shared" ref="F71" ca="1" si="5">TEXT(F9, "ddd dd/mm")</f>
        <v>Tue 30/06</v>
      </c>
      <c r="G71" s="92"/>
      <c r="H71" s="92"/>
      <c r="I71" s="92"/>
      <c r="J71" s="92"/>
      <c r="K71" s="92"/>
      <c r="L71" s="39"/>
      <c r="N71" s="96"/>
      <c r="O71" s="97"/>
      <c r="P71" s="97"/>
      <c r="Q71" s="98"/>
      <c r="S71" s="54"/>
    </row>
    <row r="72" spans="1:21" ht="30" customHeight="1" x14ac:dyDescent="0.3">
      <c r="A72" s="59"/>
      <c r="B72" s="38"/>
      <c r="C72" s="90"/>
      <c r="D72" s="91"/>
      <c r="E72" s="93"/>
      <c r="F72" s="93"/>
      <c r="G72" s="93"/>
      <c r="H72" s="93"/>
      <c r="I72" s="93"/>
      <c r="J72" s="93"/>
      <c r="K72" s="93"/>
      <c r="L72" s="41"/>
      <c r="N72" s="96"/>
      <c r="O72" s="97"/>
      <c r="P72" s="97"/>
      <c r="Q72" s="98"/>
      <c r="R72" s="3"/>
      <c r="S72" s="54"/>
      <c r="T72" s="3"/>
      <c r="U72" s="3"/>
    </row>
    <row r="73" spans="1:21" ht="30" customHeight="1" x14ac:dyDescent="0.3">
      <c r="A73" s="59"/>
      <c r="B73" s="38"/>
      <c r="C73" s="42"/>
      <c r="D73" s="43"/>
      <c r="E73" s="86"/>
      <c r="F73" s="86"/>
      <c r="G73" s="86"/>
      <c r="H73" s="86"/>
      <c r="I73" s="86"/>
      <c r="J73" s="86"/>
      <c r="K73" s="86"/>
      <c r="L73" s="66"/>
      <c r="N73" s="96"/>
      <c r="O73" s="97"/>
      <c r="P73" s="97"/>
      <c r="Q73" s="98"/>
      <c r="S73" s="54"/>
    </row>
    <row r="74" spans="1:21" ht="30" customHeight="1" x14ac:dyDescent="0.3">
      <c r="A74" s="59"/>
      <c r="B74" s="38"/>
      <c r="C74" s="42"/>
      <c r="D74" s="43"/>
      <c r="E74" s="86"/>
      <c r="F74" s="86"/>
      <c r="G74" s="86"/>
      <c r="H74" s="86"/>
      <c r="I74" s="86"/>
      <c r="J74" s="86"/>
      <c r="K74" s="86"/>
      <c r="L74" s="44"/>
      <c r="N74" s="96"/>
      <c r="O74" s="97"/>
      <c r="P74" s="97"/>
      <c r="Q74" s="98"/>
      <c r="S74" s="54"/>
    </row>
    <row r="75" spans="1:21" ht="30" customHeight="1" x14ac:dyDescent="0.3">
      <c r="A75" s="59"/>
      <c r="B75" s="38"/>
      <c r="C75" s="42"/>
      <c r="D75" s="43"/>
      <c r="E75" s="86"/>
      <c r="F75" s="86"/>
      <c r="G75" s="86"/>
      <c r="H75" s="86"/>
      <c r="I75" s="86"/>
      <c r="J75" s="86"/>
      <c r="K75" s="86"/>
      <c r="L75" s="45"/>
      <c r="N75" s="96"/>
      <c r="O75" s="97"/>
      <c r="P75" s="97"/>
      <c r="Q75" s="98"/>
      <c r="S75" s="54"/>
    </row>
    <row r="76" spans="1:21" ht="30" customHeight="1" x14ac:dyDescent="0.3">
      <c r="A76" s="59"/>
      <c r="B76" s="38"/>
      <c r="C76" s="42"/>
      <c r="D76" s="43"/>
      <c r="E76" s="86"/>
      <c r="F76" s="86"/>
      <c r="G76" s="86"/>
      <c r="H76" s="86"/>
      <c r="I76" s="86"/>
      <c r="J76" s="86"/>
      <c r="K76" s="86"/>
      <c r="L76" s="44"/>
      <c r="N76" s="96"/>
      <c r="O76" s="97"/>
      <c r="P76" s="97"/>
      <c r="Q76" s="98"/>
      <c r="S76" s="54"/>
    </row>
    <row r="77" spans="1:21" ht="30" customHeight="1" x14ac:dyDescent="0.3">
      <c r="A77" s="59"/>
      <c r="B77" s="38"/>
      <c r="C77" s="42"/>
      <c r="D77" s="43"/>
      <c r="E77" s="86"/>
      <c r="F77" s="86"/>
      <c r="G77" s="86"/>
      <c r="H77" s="86"/>
      <c r="I77" s="86"/>
      <c r="J77" s="86"/>
      <c r="K77" s="86"/>
      <c r="L77" s="45"/>
      <c r="N77" s="96"/>
      <c r="O77" s="97"/>
      <c r="P77" s="97"/>
      <c r="Q77" s="98"/>
      <c r="S77" s="54"/>
    </row>
    <row r="78" spans="1:21" ht="30" customHeight="1" x14ac:dyDescent="0.3">
      <c r="A78" s="59"/>
      <c r="B78" s="38"/>
      <c r="C78" s="42"/>
      <c r="D78" s="43"/>
      <c r="E78" s="86"/>
      <c r="F78" s="86"/>
      <c r="G78" s="86"/>
      <c r="H78" s="86"/>
      <c r="I78" s="86"/>
      <c r="J78" s="86"/>
      <c r="K78" s="86"/>
      <c r="L78" s="44"/>
      <c r="N78" s="96"/>
      <c r="O78" s="97"/>
      <c r="P78" s="97"/>
      <c r="Q78" s="98"/>
      <c r="S78" s="54"/>
    </row>
    <row r="79" spans="1:21" ht="30" customHeight="1" x14ac:dyDescent="0.3">
      <c r="A79" s="59"/>
      <c r="B79" s="38"/>
      <c r="C79" s="42"/>
      <c r="D79" s="43"/>
      <c r="E79" s="86"/>
      <c r="F79" s="86"/>
      <c r="G79" s="86"/>
      <c r="H79" s="86"/>
      <c r="I79" s="86"/>
      <c r="J79" s="86"/>
      <c r="K79" s="86"/>
      <c r="L79" s="45"/>
      <c r="N79" s="96"/>
      <c r="O79" s="97"/>
      <c r="P79" s="97"/>
      <c r="Q79" s="98"/>
      <c r="S79" s="54"/>
    </row>
    <row r="80" spans="1:21" ht="30" customHeight="1" x14ac:dyDescent="0.3">
      <c r="A80" s="59"/>
      <c r="B80" s="38"/>
      <c r="C80" s="42"/>
      <c r="D80" s="43"/>
      <c r="E80" s="86"/>
      <c r="F80" s="86"/>
      <c r="G80" s="86"/>
      <c r="H80" s="86"/>
      <c r="I80" s="86"/>
      <c r="J80" s="86"/>
      <c r="K80" s="86"/>
      <c r="L80" s="46"/>
      <c r="N80" s="96"/>
      <c r="O80" s="97"/>
      <c r="P80" s="97"/>
      <c r="Q80" s="98"/>
      <c r="S80" s="54"/>
    </row>
    <row r="81" spans="1:19" ht="30" customHeight="1" x14ac:dyDescent="0.3">
      <c r="A81" s="59"/>
      <c r="B81" s="38"/>
      <c r="C81" s="42"/>
      <c r="D81" s="43"/>
      <c r="E81" s="86"/>
      <c r="F81" s="86"/>
      <c r="G81" s="86"/>
      <c r="H81" s="86"/>
      <c r="I81" s="86"/>
      <c r="J81" s="86"/>
      <c r="K81" s="86"/>
      <c r="L81" s="46"/>
      <c r="N81" s="96"/>
      <c r="O81" s="97"/>
      <c r="P81" s="97"/>
      <c r="Q81" s="98"/>
      <c r="S81" s="54"/>
    </row>
    <row r="82" spans="1:19" ht="30" customHeight="1" thickBot="1" x14ac:dyDescent="0.35">
      <c r="A82" s="59"/>
      <c r="B82" s="38"/>
      <c r="C82" s="47"/>
      <c r="D82" s="48"/>
      <c r="E82" s="87"/>
      <c r="F82" s="87"/>
      <c r="G82" s="87"/>
      <c r="H82" s="87"/>
      <c r="I82" s="87"/>
      <c r="J82" s="87"/>
      <c r="K82" s="87"/>
      <c r="L82" s="49"/>
      <c r="N82" s="96"/>
      <c r="O82" s="97"/>
      <c r="P82" s="97"/>
      <c r="Q82" s="98"/>
      <c r="S82" s="54"/>
    </row>
    <row r="83" spans="1:19" ht="30" customHeight="1" thickTop="1" x14ac:dyDescent="0.3">
      <c r="A83" s="59"/>
      <c r="B83" s="38"/>
      <c r="C83" s="38"/>
      <c r="D83" s="63"/>
      <c r="E83" s="63"/>
      <c r="F83" s="63"/>
      <c r="G83" s="63"/>
      <c r="H83" s="63"/>
      <c r="I83" s="63"/>
      <c r="J83" s="63"/>
      <c r="K83" s="63"/>
      <c r="L83" s="63"/>
      <c r="N83" s="64"/>
      <c r="O83" s="64"/>
      <c r="P83" s="62"/>
      <c r="Q83" s="65"/>
      <c r="S83" s="54"/>
    </row>
    <row r="84" spans="1:19" ht="30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6"/>
      <c r="O84" s="56"/>
      <c r="P84" s="54"/>
      <c r="Q84" s="57"/>
      <c r="R84" s="54"/>
      <c r="S84" s="54"/>
    </row>
  </sheetData>
  <sheetProtection sheet="1" objects="1" scenarios="1" selectLockedCells="1"/>
  <dataConsolidate/>
  <mergeCells count="106">
    <mergeCell ref="C57:D58"/>
    <mergeCell ref="C71:D72"/>
    <mergeCell ref="N25:Q25"/>
    <mergeCell ref="N26:Q26"/>
    <mergeCell ref="C15:D16"/>
    <mergeCell ref="C29:D30"/>
    <mergeCell ref="C43:D44"/>
    <mergeCell ref="N20:Q20"/>
    <mergeCell ref="N21:Q21"/>
    <mergeCell ref="N22:Q22"/>
    <mergeCell ref="N23:Q23"/>
    <mergeCell ref="N24:Q24"/>
    <mergeCell ref="N15:Q15"/>
    <mergeCell ref="N16:Q16"/>
    <mergeCell ref="N17:Q17"/>
    <mergeCell ref="N18:Q18"/>
    <mergeCell ref="N19:Q19"/>
    <mergeCell ref="N54:Q54"/>
    <mergeCell ref="N29:Q29"/>
    <mergeCell ref="N30:Q30"/>
    <mergeCell ref="N31:Q31"/>
    <mergeCell ref="N32:Q32"/>
    <mergeCell ref="N33:Q33"/>
    <mergeCell ref="N34:Q34"/>
    <mergeCell ref="N37:Q37"/>
    <mergeCell ref="N38:Q38"/>
    <mergeCell ref="N39:Q39"/>
    <mergeCell ref="N40:Q40"/>
    <mergeCell ref="N81:Q81"/>
    <mergeCell ref="N82:Q82"/>
    <mergeCell ref="N57:Q57"/>
    <mergeCell ref="N58:Q58"/>
    <mergeCell ref="N59:Q59"/>
    <mergeCell ref="N60:Q60"/>
    <mergeCell ref="N61:Q61"/>
    <mergeCell ref="N62:Q62"/>
    <mergeCell ref="N63:Q63"/>
    <mergeCell ref="N64:Q64"/>
    <mergeCell ref="N65:Q65"/>
    <mergeCell ref="N66:Q66"/>
    <mergeCell ref="N67:Q67"/>
    <mergeCell ref="N68:Q68"/>
    <mergeCell ref="N76:Q76"/>
    <mergeCell ref="N77:Q77"/>
    <mergeCell ref="N78:Q78"/>
    <mergeCell ref="N79:Q79"/>
    <mergeCell ref="N80:Q80"/>
    <mergeCell ref="N71:Q71"/>
    <mergeCell ref="N72:Q72"/>
    <mergeCell ref="N73:Q73"/>
    <mergeCell ref="N74:Q74"/>
    <mergeCell ref="N75:Q75"/>
    <mergeCell ref="N70:P70"/>
    <mergeCell ref="E43:E44"/>
    <mergeCell ref="F43:F44"/>
    <mergeCell ref="G43:G44"/>
    <mergeCell ref="H43:H44"/>
    <mergeCell ref="N43:Q43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N53:Q53"/>
    <mergeCell ref="K71:K72"/>
    <mergeCell ref="E57:E58"/>
    <mergeCell ref="D5:D6"/>
    <mergeCell ref="N14:P14"/>
    <mergeCell ref="N28:P28"/>
    <mergeCell ref="N42:P42"/>
    <mergeCell ref="N56:P56"/>
    <mergeCell ref="I43:I44"/>
    <mergeCell ref="J43:J44"/>
    <mergeCell ref="K43:K44"/>
    <mergeCell ref="E29:E30"/>
    <mergeCell ref="F29:F30"/>
    <mergeCell ref="G29:G30"/>
    <mergeCell ref="H29:H30"/>
    <mergeCell ref="I29:I30"/>
    <mergeCell ref="J29:J30"/>
    <mergeCell ref="K29:K30"/>
    <mergeCell ref="K15:K16"/>
    <mergeCell ref="J15:J16"/>
    <mergeCell ref="E15:E16"/>
    <mergeCell ref="F15:F16"/>
    <mergeCell ref="G15:G16"/>
    <mergeCell ref="H15:H16"/>
    <mergeCell ref="I15:I16"/>
    <mergeCell ref="N35:Q35"/>
    <mergeCell ref="N36:Q36"/>
    <mergeCell ref="F57:F58"/>
    <mergeCell ref="G57:G58"/>
    <mergeCell ref="H57:H58"/>
    <mergeCell ref="I57:I58"/>
    <mergeCell ref="J57:J58"/>
    <mergeCell ref="K57:K58"/>
    <mergeCell ref="E71:E72"/>
    <mergeCell ref="F71:F72"/>
    <mergeCell ref="G71:G72"/>
    <mergeCell ref="H71:H72"/>
    <mergeCell ref="I71:I72"/>
    <mergeCell ref="J71:J72"/>
  </mergeCells>
  <conditionalFormatting sqref="D17:K25">
    <cfRule type="expression" dxfId="142" priority="5">
      <formula>D17&lt;&gt;""</formula>
    </cfRule>
  </conditionalFormatting>
  <conditionalFormatting sqref="D26:K27">
    <cfRule type="expression" dxfId="141" priority="15">
      <formula>COLUMN(#REF!)&gt;2</formula>
    </cfRule>
  </conditionalFormatting>
  <conditionalFormatting sqref="D31:K39">
    <cfRule type="expression" dxfId="140" priority="4">
      <formula>D31&lt;&gt;""</formula>
    </cfRule>
  </conditionalFormatting>
  <conditionalFormatting sqref="D40:K41">
    <cfRule type="expression" dxfId="139" priority="13">
      <formula>COLUMN(#REF!)&gt;2</formula>
    </cfRule>
  </conditionalFormatting>
  <conditionalFormatting sqref="D45:K53">
    <cfRule type="expression" dxfId="138" priority="3">
      <formula>D45&lt;&gt;""</formula>
    </cfRule>
  </conditionalFormatting>
  <conditionalFormatting sqref="D54:K55">
    <cfRule type="expression" dxfId="137" priority="11">
      <formula>COLUMN(#REF!)&gt;2</formula>
    </cfRule>
  </conditionalFormatting>
  <conditionalFormatting sqref="D59:K67">
    <cfRule type="expression" dxfId="136" priority="2">
      <formula>D59&lt;&gt;""</formula>
    </cfRule>
  </conditionalFormatting>
  <conditionalFormatting sqref="D68:K69">
    <cfRule type="expression" dxfId="135" priority="9">
      <formula>COLUMN(#REF!)&gt;2</formula>
    </cfRule>
  </conditionalFormatting>
  <conditionalFormatting sqref="D73:K81">
    <cfRule type="expression" dxfId="134" priority="1">
      <formula>D73&lt;&gt;""</formula>
    </cfRule>
  </conditionalFormatting>
  <conditionalFormatting sqref="D82:K83">
    <cfRule type="expression" dxfId="133" priority="7">
      <formula>COLUMN(#REF!)&gt;2</formula>
    </cfRule>
  </conditionalFormatting>
  <conditionalFormatting sqref="E5:J5">
    <cfRule type="expression" dxfId="132" priority="18" stopIfTrue="1">
      <formula>DAY(E5)&gt;8</formula>
    </cfRule>
  </conditionalFormatting>
  <conditionalFormatting sqref="E4:K10">
    <cfRule type="timePeriod" dxfId="131" priority="16" timePeriod="thisWeek">
      <formula>AND(TODAY()-ROUNDDOWN(E4,0)&lt;=WEEKDAY(TODAY())-1,ROUNDDOWN(E4,0)-TODAY()&lt;=7-WEEKDAY(TODAY()))</formula>
    </cfRule>
  </conditionalFormatting>
  <conditionalFormatting sqref="E5:K10">
    <cfRule type="expression" dxfId="130" priority="19">
      <formula>VLOOKUP(DAY(E5),$O:$O,1,FALSE)=DAY(E5)</formula>
    </cfRule>
  </conditionalFormatting>
  <conditionalFormatting sqref="E9:K10">
    <cfRule type="expression" dxfId="129" priority="17" stopIfTrue="1">
      <formula>AND(DAY(E9)&gt;=1,DAY(E9)&lt;=15)</formula>
    </cfRule>
  </conditionalFormatting>
  <conditionalFormatting sqref="E56:K56 E70:K70">
    <cfRule type="expression" dxfId="128" priority="40">
      <formula>COLUMN(#REF!)&gt;2</formula>
    </cfRule>
  </conditionalFormatting>
  <conditionalFormatting sqref="M6:M11">
    <cfRule type="expression" dxfId="127" priority="39">
      <formula>VLOOKUP(DAY(M6),AssignmentDays,1,FALSE)=DAY(M6)</formula>
    </cfRule>
  </conditionalFormatting>
  <conditionalFormatting sqref="M10:M11">
    <cfRule type="expression" dxfId="126" priority="38" stopIfTrue="1">
      <formula>AND(DAY(M10)&gt;=1,DAY(M10)&lt;=15)</formula>
    </cfRule>
  </conditionalFormatting>
  <conditionalFormatting sqref="R72 T72:U72">
    <cfRule type="expression" dxfId="125" priority="28" stopIfTrue="1">
      <formula>AND(DAY(R72)&gt;=1,DAY(R72)&lt;=15)</formula>
    </cfRule>
    <cfRule type="expression" dxfId="124" priority="37">
      <formula>VLOOKUP(DAY(R72),$O:$O,1,FALSE)=DAY(R72)</formula>
    </cfRule>
  </conditionalFormatting>
  <dataValidations count="10">
    <dataValidation allowBlank="1" showInputMessage="1" showErrorMessage="1" prompt="If this row contains a number less than the previous number or row of numbers, then this row contains dates for the next calendar month" sqref="E10" xr:uid="{AF93A2C3-7DD6-4454-8A83-589D0BD8F0E7}"/>
    <dataValidation allowBlank="1" showInputMessage="1" showErrorMessage="1" prompt="Weekdays are in this row, from Monday to Friday" sqref="C57 C43 C15 E15:K15 E29:K29 C29 C71" xr:uid="{0CB8B0E6-8C46-4FB0-9DCC-95878BBC3180}"/>
    <dataValidation allowBlank="1" showInputMessage="1" showErrorMessage="1" prompt="Day of the week goes in this row, starting in cell D16" sqref="A29 A15" xr:uid="{BC09DB32-E1CB-4916-A166-724B9F380D1C}"/>
    <dataValidation allowBlank="1" showInputMessage="1" showErrorMessage="1" prompt="Calendar year is automatically updated in this cell. To change the calendar year, to go cell D5 in Jan worksheet." sqref="D5:D6" xr:uid="{BC40FE14-4C65-4F85-9EC9-0D2DB502B277}"/>
    <dataValidation allowBlank="1" showInputMessage="1" showErrorMessage="1" prompt="Calendar automatically highlights assignment list entries for the month. Darker fonts are assignments. Lighter fonts are days that belong to the previous or next month" sqref="D4" xr:uid="{0D1C0ABF-7C60-4CB8-BEB2-062A6736473F}"/>
    <dataValidation allowBlank="1" showInputMessage="1" showErrorMessage="1" prompt="Enter the assignment details in this column that correspond to the weekday in column N and day in column O for the calendar month at left" sqref="N4" xr:uid="{73BFFF7C-1CA9-49EE-9964-A0274ED0CFC5}"/>
    <dataValidation allowBlank="1" showInputMessage="1" showErrorMessage="1" prompt="If this cell doesn’t contain the number 1, then it is a day from a previous month. Cells E5:K10 contain dates for the current month" sqref="E5" xr:uid="{E3444ACC-1949-4D04-98FA-6FE60F0B9FF4}"/>
    <dataValidation allowBlank="1" showInputMessage="1" showErrorMessage="1" prompt="Cells E4:K4 contain weekdays" sqref="E4" xr:uid="{16075A87-162A-4DDB-BB23-C85B0FF4D8B2}"/>
    <dataValidation allowBlank="1" showInputMessage="1" showErrorMessage="1" prompt="March calendar. Calendar year is automatically updated based on cell D5 in Jan sheet." sqref="A1" xr:uid="{2855D10D-BE3E-439F-BADF-4E80988A31E0}"/>
    <dataValidation allowBlank="1" showInputMessage="1" showErrorMessage="1" prompt="Enter the time of your class and under it, in a new row, the class name for each weekday in columns D to K. Repeat this pattern for all classes in subsequent rows" sqref="D13" xr:uid="{96B80336-0399-4882-B85C-B964364594DF}"/>
  </dataValidations>
  <printOptions horizontalCentered="1" verticalCentered="1"/>
  <pageMargins left="0.25" right="0.25" top="0.5" bottom="0.5" header="0.3" footer="0.3"/>
  <pageSetup scale="21" orientation="landscape" r:id="rId1"/>
  <rowBreaks count="1" manualBreakCount="1">
    <brk id="1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D0CF-4A23-4C25-83C9-9E2135161507}">
  <sheetPr>
    <tabColor theme="6" tint="0.39997558519241921"/>
    <pageSetUpPr fitToPage="1"/>
  </sheetPr>
  <dimension ref="A1:U84"/>
  <sheetViews>
    <sheetView showGridLines="0" topLeftCell="A15" zoomScale="59" zoomScaleNormal="100" zoomScalePageLayoutView="84" workbookViewId="0">
      <selection activeCell="N15" sqref="N15:Q15"/>
    </sheetView>
  </sheetViews>
  <sheetFormatPr defaultColWidth="8.59765625" defaultRowHeight="30" customHeight="1" x14ac:dyDescent="0.25"/>
  <cols>
    <col min="1" max="2" width="5.59765625" customWidth="1"/>
    <col min="3" max="3" width="2.59765625" customWidth="1"/>
    <col min="4" max="4" width="19.5" customWidth="1"/>
    <col min="5" max="11" width="24.59765625" customWidth="1"/>
    <col min="12" max="12" width="2.59765625" customWidth="1"/>
    <col min="13" max="13" width="5.59765625" style="11" customWidth="1"/>
    <col min="14" max="14" width="12.59765625" style="50" customWidth="1"/>
    <col min="15" max="15" width="5.59765625" style="50" customWidth="1"/>
    <col min="16" max="16" width="2.59765625" customWidth="1"/>
    <col min="17" max="17" width="70.59765625" style="12" customWidth="1"/>
    <col min="18" max="19" width="5.59765625" customWidth="1"/>
  </cols>
  <sheetData>
    <row r="1" spans="1:19" ht="30" customHeight="1" x14ac:dyDescent="0.25">
      <c r="A1" s="54"/>
      <c r="B1" s="54"/>
      <c r="C1" s="54"/>
      <c r="D1" s="55"/>
      <c r="E1" s="54"/>
      <c r="F1" s="54"/>
      <c r="G1" s="54"/>
      <c r="H1" s="54"/>
      <c r="I1" s="54"/>
      <c r="J1" s="54"/>
      <c r="K1" s="54"/>
      <c r="L1" s="54"/>
      <c r="M1" s="60"/>
      <c r="N1" s="56"/>
      <c r="O1" s="56"/>
      <c r="P1" s="54"/>
      <c r="Q1" s="57"/>
      <c r="R1" s="54"/>
      <c r="S1" s="54"/>
    </row>
    <row r="2" spans="1:19" ht="30" customHeight="1" thickBot="1" x14ac:dyDescent="0.3">
      <c r="A2" s="54"/>
      <c r="D2" s="10"/>
      <c r="E2" s="10"/>
      <c r="F2" s="10"/>
      <c r="G2" s="10"/>
      <c r="H2" s="10"/>
      <c r="I2" s="10"/>
      <c r="J2" s="10"/>
      <c r="K2" s="10"/>
      <c r="N2"/>
      <c r="O2"/>
      <c r="S2" s="54"/>
    </row>
    <row r="3" spans="1:19" ht="30" customHeight="1" thickTop="1" x14ac:dyDescent="0.3">
      <c r="A3" s="54"/>
      <c r="C3" s="14"/>
      <c r="D3" s="15"/>
      <c r="E3" s="15"/>
      <c r="F3" s="15"/>
      <c r="G3" s="15"/>
      <c r="H3" s="15"/>
      <c r="I3" s="15"/>
      <c r="J3" s="15"/>
      <c r="K3" s="15"/>
      <c r="L3" s="16"/>
      <c r="N3" s="68"/>
      <c r="O3" s="64"/>
      <c r="P3" s="69"/>
      <c r="Q3" s="70"/>
      <c r="S3" s="54"/>
    </row>
    <row r="4" spans="1:19" ht="35.1" customHeight="1" x14ac:dyDescent="0.25">
      <c r="A4" s="54"/>
      <c r="C4" s="17"/>
      <c r="D4" s="1" t="s">
        <v>14</v>
      </c>
      <c r="E4" s="18" t="s">
        <v>1</v>
      </c>
      <c r="F4" s="18" t="s">
        <v>2</v>
      </c>
      <c r="G4" s="18" t="s">
        <v>3</v>
      </c>
      <c r="H4" s="18" t="s">
        <v>4</v>
      </c>
      <c r="I4" s="18" t="s">
        <v>5</v>
      </c>
      <c r="J4" s="18" t="s">
        <v>6</v>
      </c>
      <c r="K4" s="18" t="s">
        <v>7</v>
      </c>
      <c r="L4" s="19"/>
      <c r="N4" s="71"/>
      <c r="O4" s="69"/>
      <c r="P4" s="69"/>
      <c r="Q4" s="72"/>
      <c r="S4" s="54"/>
    </row>
    <row r="5" spans="1:19" ht="30" customHeight="1" x14ac:dyDescent="0.3">
      <c r="A5" s="58"/>
      <c r="B5" s="21"/>
      <c r="C5" s="22"/>
      <c r="D5" s="94">
        <f ca="1">CalendarYear</f>
        <v>2026</v>
      </c>
      <c r="E5" s="3">
        <f ca="1">IF(DAY(JulSun1)=1,AprSun1-6,JulSun1+1)</f>
        <v>46202</v>
      </c>
      <c r="F5" s="3">
        <f ca="1">IF(DAY(JulSun1)=1,JulSun1-5,JulSun1+2)</f>
        <v>46203</v>
      </c>
      <c r="G5" s="3">
        <f ca="1">IF(DAY(JulSun1)=1,JulSun1-4,JulSun1+3)</f>
        <v>46204</v>
      </c>
      <c r="H5" s="3">
        <f ca="1">IF(DAY(JulSun1)=1,JulSun1-3,JulSun1+4)</f>
        <v>46205</v>
      </c>
      <c r="I5" s="3">
        <f ca="1">IF(DAY(JulSun1)=1,JulSun1-2,JulSun1+5)</f>
        <v>46206</v>
      </c>
      <c r="J5" s="3">
        <f ca="1">IF(DAY(JulSun1)=1,JulSun1-1,JulSun1+6)</f>
        <v>46207</v>
      </c>
      <c r="K5" s="3">
        <f ca="1">IF(DAY(JulSun1)=1,JulSun1,JulSun1+7)</f>
        <v>46208</v>
      </c>
      <c r="L5" s="24"/>
      <c r="M5" s="25"/>
      <c r="N5" s="68"/>
      <c r="O5" s="69"/>
      <c r="P5" s="69"/>
      <c r="Q5" s="70"/>
      <c r="S5" s="54"/>
    </row>
    <row r="6" spans="1:19" ht="30" customHeight="1" x14ac:dyDescent="0.3">
      <c r="A6" s="58"/>
      <c r="B6" s="21"/>
      <c r="C6" s="22"/>
      <c r="D6" s="94"/>
      <c r="E6" s="3">
        <f ca="1">IF(DAY(JulSun1)=1,JulSun1+1,JulSun1+8)</f>
        <v>46209</v>
      </c>
      <c r="F6" s="3">
        <f ca="1">IF(DAY(JulSun1)=1,JulSun1+2,JulSun1+9)</f>
        <v>46210</v>
      </c>
      <c r="G6" s="3">
        <f ca="1">IF(DAY(JulSun1)=1,JulSun1+3,JulSun1+10)</f>
        <v>46211</v>
      </c>
      <c r="H6" s="3">
        <f ca="1">IF(DAY(JulSun1)=1,JulSun1+4,JulSun1+11)</f>
        <v>46212</v>
      </c>
      <c r="I6" s="3">
        <f ca="1">IF(DAY(JulSun1)=1,JulSun1+5,JulSun1+12)</f>
        <v>46213</v>
      </c>
      <c r="J6" s="3">
        <f ca="1">IF(DAY(JulSun1)=1,JulSun1+6,JulSun1+13)</f>
        <v>46214</v>
      </c>
      <c r="K6" s="3">
        <f ca="1">IF(DAY(JulSun1)=1,JulSun1+7,JulSun1+14)</f>
        <v>46215</v>
      </c>
      <c r="L6" s="24"/>
      <c r="M6" s="26"/>
      <c r="N6" s="73"/>
      <c r="O6" s="74"/>
      <c r="P6" s="74"/>
      <c r="Q6" s="70"/>
      <c r="S6" s="54"/>
    </row>
    <row r="7" spans="1:19" ht="30" customHeight="1" x14ac:dyDescent="0.25">
      <c r="A7" s="58"/>
      <c r="B7" s="21"/>
      <c r="C7" s="22"/>
      <c r="D7" s="27"/>
      <c r="E7" s="3">
        <f ca="1">IF(DAY(JulSun1)=1,JulSun1+8,JulSun1+15)</f>
        <v>46216</v>
      </c>
      <c r="F7" s="3">
        <f ca="1">IF(DAY(JulSun1)=1,JulSun1+9,JulSun1+16)</f>
        <v>46217</v>
      </c>
      <c r="G7" s="3">
        <f ca="1">IF(DAY(JulSun1)=1,JulSun1+10,JulSun1+17)</f>
        <v>46218</v>
      </c>
      <c r="H7" s="3">
        <f ca="1">IF(DAY(JulSun1)=1,JulSun1+11,JulSun1+18)</f>
        <v>46219</v>
      </c>
      <c r="I7" s="3">
        <f ca="1">IF(DAY(JulSun1)=1,JulSun1+12,JulSun1+19)</f>
        <v>46220</v>
      </c>
      <c r="J7" s="3">
        <f ca="1">IF(DAY(JulSun1)=1,JulSun1+13,JulSun1+20)</f>
        <v>46221</v>
      </c>
      <c r="K7" s="3">
        <f ca="1">IF(DAY(JulSun1)=1,JulSun1+14,JulSun1+21)</f>
        <v>46222</v>
      </c>
      <c r="L7" s="24"/>
      <c r="M7" s="26"/>
      <c r="N7" s="75"/>
      <c r="O7" s="76"/>
      <c r="P7" s="76"/>
      <c r="Q7" s="70"/>
      <c r="S7" s="54"/>
    </row>
    <row r="8" spans="1:19" ht="30" customHeight="1" x14ac:dyDescent="0.3">
      <c r="A8" s="58"/>
      <c r="B8" s="21"/>
      <c r="C8" s="22"/>
      <c r="D8" s="27"/>
      <c r="E8" s="3">
        <f ca="1">IF(DAY(JulSun1)=1,JulSun1+15,JulSun1+22)</f>
        <v>46223</v>
      </c>
      <c r="F8" s="3">
        <f ca="1">IF(DAY(JulSun1)=1,JulSun1+16,JulSun1+23)</f>
        <v>46224</v>
      </c>
      <c r="G8" s="3">
        <f ca="1">IF(DAY(JulSun1)=1,JulSun1+17,JulSun1+24)</f>
        <v>46225</v>
      </c>
      <c r="H8" s="3">
        <f ca="1">IF(DAY(JulSun1)=1,JulSun1+18,JulSun1+25)</f>
        <v>46226</v>
      </c>
      <c r="I8" s="3">
        <f ca="1">IF(DAY(JulSun1)=1,JulSun1+19,JulSun1+26)</f>
        <v>46227</v>
      </c>
      <c r="J8" s="3">
        <f ca="1">IF(DAY(JulSun1)=1,JulSun1+20,JulSun1+27)</f>
        <v>46228</v>
      </c>
      <c r="K8" s="3">
        <f ca="1">IF(DAY(JulSun1)=1,JulSun1+21,JulSun1+28)</f>
        <v>46229</v>
      </c>
      <c r="L8" s="24"/>
      <c r="M8" s="26"/>
      <c r="N8" s="77"/>
      <c r="O8" s="62"/>
      <c r="P8" s="62"/>
      <c r="Q8" s="70"/>
      <c r="S8" s="54"/>
    </row>
    <row r="9" spans="1:19" ht="30" customHeight="1" x14ac:dyDescent="0.3">
      <c r="A9" s="58"/>
      <c r="B9" s="21"/>
      <c r="C9" s="22"/>
      <c r="D9" s="27"/>
      <c r="E9" s="3">
        <f ca="1">IF(DAY(JulSun1)=1,JulSun1+22,JulSun1+29)</f>
        <v>46230</v>
      </c>
      <c r="F9" s="3">
        <f ca="1">IF(DAY(JulSun1)=1,JulSun1+23,JulSun1+30)</f>
        <v>46231</v>
      </c>
      <c r="G9" s="3">
        <f ca="1">IF(DAY(JulSun1)=1,JulSun1+24,JulSun1+31)</f>
        <v>46232</v>
      </c>
      <c r="H9" s="3">
        <f ca="1">IF(DAY(JulSun1)=1,JulSun1+25,JulSun1+32)</f>
        <v>46233</v>
      </c>
      <c r="I9" s="3">
        <f ca="1">IF(DAY(JulSun1)=1,JulSun1+26,JulSun1+33)</f>
        <v>46234</v>
      </c>
      <c r="J9" s="3">
        <f ca="1">IF(DAY(JulSun1)=1,JulSun1+27,JulSun1+34)</f>
        <v>46235</v>
      </c>
      <c r="K9" s="3">
        <f ca="1">IF(DAY(JulSun1)=1,JulSun1+28,JulSun1+35)</f>
        <v>46236</v>
      </c>
      <c r="L9" s="24"/>
      <c r="M9" s="26"/>
      <c r="N9" s="77"/>
      <c r="O9" s="62"/>
      <c r="P9" s="62"/>
      <c r="Q9" s="70"/>
      <c r="S9" s="54"/>
    </row>
    <row r="10" spans="1:19" ht="30" customHeight="1" x14ac:dyDescent="0.3">
      <c r="A10" s="58"/>
      <c r="B10" s="21"/>
      <c r="C10" s="22"/>
      <c r="D10" s="27"/>
      <c r="E10" s="3">
        <f ca="1">IF(DAY(JulSun1)=1,JulSun1+29,JulSun1+36)</f>
        <v>46237</v>
      </c>
      <c r="F10" s="3">
        <f ca="1">IF(DAY(JulSun1)=1,JulSun1+30,JulSun1+37)</f>
        <v>46238</v>
      </c>
      <c r="G10" s="3">
        <f ca="1">IF(DAY(JulSun1)=1,JulSun1+31,JulSun1+38)</f>
        <v>46239</v>
      </c>
      <c r="H10" s="3">
        <f ca="1">IF(DAY(JulSun1)=1,JulSun1+32,JulSun1+39)</f>
        <v>46240</v>
      </c>
      <c r="I10" s="3">
        <f ca="1">IF(DAY(JulSun1)=1,JulSun1+33,JulSun1+40)</f>
        <v>46241</v>
      </c>
      <c r="J10" s="3">
        <f ca="1">IF(DAY(JulSun1)=1,JulSun1+34,JulSun1+41)</f>
        <v>46242</v>
      </c>
      <c r="K10" s="3">
        <f ca="1">IF(DAY(JulSun1)=1,JulSun1+35,JulSun1+42)</f>
        <v>46243</v>
      </c>
      <c r="L10" s="30"/>
      <c r="M10" s="26"/>
      <c r="N10" s="77"/>
      <c r="O10" s="62"/>
      <c r="P10" s="62"/>
      <c r="Q10" s="78"/>
      <c r="S10" s="54"/>
    </row>
    <row r="11" spans="1:19" ht="30" customHeight="1" thickBot="1" x14ac:dyDescent="0.35">
      <c r="A11" s="58"/>
      <c r="B11" s="21"/>
      <c r="C11" s="31"/>
      <c r="D11" s="10"/>
      <c r="E11" s="10"/>
      <c r="F11" s="10"/>
      <c r="G11" s="10"/>
      <c r="H11" s="10"/>
      <c r="I11" s="10"/>
      <c r="J11" s="10"/>
      <c r="K11" s="10"/>
      <c r="L11" s="32"/>
      <c r="M11" s="33"/>
      <c r="N11" s="77"/>
      <c r="O11" s="62"/>
      <c r="P11" s="62"/>
      <c r="Q11" s="78"/>
      <c r="S11" s="54"/>
    </row>
    <row r="12" spans="1:19" ht="30" customHeight="1" thickTop="1" x14ac:dyDescent="0.25">
      <c r="A12" s="58"/>
      <c r="B12" s="21"/>
      <c r="C12" s="21"/>
      <c r="D12" s="34"/>
      <c r="E12" s="15"/>
      <c r="F12" s="15"/>
      <c r="G12" s="15"/>
      <c r="H12" s="15"/>
      <c r="I12" s="15"/>
      <c r="J12" s="15"/>
      <c r="K12" s="15"/>
      <c r="N12" s="75"/>
      <c r="O12" s="76"/>
      <c r="P12" s="76"/>
      <c r="Q12" s="65"/>
      <c r="S12" s="54"/>
    </row>
    <row r="13" spans="1:19" ht="30" customHeight="1" x14ac:dyDescent="0.25">
      <c r="A13" s="58"/>
      <c r="B13" s="21"/>
      <c r="C13" s="21"/>
      <c r="D13" s="2" t="s">
        <v>8</v>
      </c>
      <c r="E13" s="35"/>
      <c r="F13" s="35"/>
      <c r="G13" s="35"/>
      <c r="H13" s="35"/>
      <c r="I13" s="35"/>
      <c r="J13" s="35"/>
      <c r="K13" s="35"/>
      <c r="N13" s="75"/>
      <c r="O13" s="76"/>
      <c r="P13" s="76"/>
      <c r="Q13" s="65"/>
      <c r="S13" s="58"/>
    </row>
    <row r="14" spans="1:19" ht="30" customHeight="1" thickBot="1" x14ac:dyDescent="0.45">
      <c r="A14" s="58"/>
      <c r="B14" s="21"/>
      <c r="C14" s="21"/>
      <c r="D14" s="84"/>
      <c r="E14" s="37"/>
      <c r="F14" s="37"/>
      <c r="G14" s="37"/>
      <c r="H14" s="37"/>
      <c r="I14" s="37"/>
      <c r="J14" s="37"/>
      <c r="K14" s="37"/>
      <c r="L14" s="37"/>
      <c r="M14" s="36"/>
      <c r="N14" s="95" t="s">
        <v>20</v>
      </c>
      <c r="O14" s="95"/>
      <c r="P14" s="95"/>
      <c r="Q14" s="65"/>
      <c r="S14" s="54"/>
    </row>
    <row r="15" spans="1:19" ht="30" customHeight="1" thickTop="1" x14ac:dyDescent="0.3">
      <c r="A15" s="59"/>
      <c r="B15" s="38"/>
      <c r="C15" s="88" t="s">
        <v>20</v>
      </c>
      <c r="D15" s="89"/>
      <c r="E15" s="92"/>
      <c r="F15" s="92"/>
      <c r="G15" s="92" t="str">
        <f t="shared" ref="G15:K15" ca="1" si="0">TEXT(G5, "ddd dd/mm")</f>
        <v>Wed 01/07</v>
      </c>
      <c r="H15" s="92" t="str">
        <f t="shared" ca="1" si="0"/>
        <v>Thu 02/07</v>
      </c>
      <c r="I15" s="92" t="str">
        <f t="shared" ca="1" si="0"/>
        <v>Fri 03/07</v>
      </c>
      <c r="J15" s="92" t="str">
        <f t="shared" ca="1" si="0"/>
        <v>Sat 04/07</v>
      </c>
      <c r="K15" s="92" t="str">
        <f t="shared" ca="1" si="0"/>
        <v>Sun 05/07</v>
      </c>
      <c r="L15" s="39"/>
      <c r="M15" s="40"/>
      <c r="N15" s="96"/>
      <c r="O15" s="97"/>
      <c r="P15" s="97"/>
      <c r="Q15" s="98"/>
      <c r="S15" s="54"/>
    </row>
    <row r="16" spans="1:19" ht="30" customHeight="1" x14ac:dyDescent="0.3">
      <c r="A16" s="59"/>
      <c r="B16" s="38"/>
      <c r="C16" s="90"/>
      <c r="D16" s="91"/>
      <c r="E16" s="93"/>
      <c r="F16" s="93"/>
      <c r="G16" s="93"/>
      <c r="H16" s="93"/>
      <c r="I16" s="93"/>
      <c r="J16" s="93"/>
      <c r="K16" s="93"/>
      <c r="L16" s="41"/>
      <c r="N16" s="96"/>
      <c r="O16" s="97"/>
      <c r="P16" s="97"/>
      <c r="Q16" s="98"/>
      <c r="S16" s="54"/>
    </row>
    <row r="17" spans="1:19" ht="30" customHeight="1" x14ac:dyDescent="0.3">
      <c r="A17" s="59"/>
      <c r="B17" s="38"/>
      <c r="C17" s="42"/>
      <c r="D17" s="43"/>
      <c r="E17" s="86"/>
      <c r="F17" s="86"/>
      <c r="G17" s="86"/>
      <c r="H17" s="86"/>
      <c r="I17" s="86"/>
      <c r="J17" s="86"/>
      <c r="K17" s="86"/>
      <c r="L17" s="66"/>
      <c r="M17" s="67"/>
      <c r="N17" s="96"/>
      <c r="O17" s="97"/>
      <c r="P17" s="97"/>
      <c r="Q17" s="98"/>
      <c r="S17" s="54"/>
    </row>
    <row r="18" spans="1:19" ht="30" customHeight="1" x14ac:dyDescent="0.3">
      <c r="A18" s="59"/>
      <c r="B18" s="38"/>
      <c r="C18" s="42"/>
      <c r="D18" s="43"/>
      <c r="E18" s="86"/>
      <c r="F18" s="86"/>
      <c r="G18" s="86"/>
      <c r="H18" s="86"/>
      <c r="I18" s="86"/>
      <c r="J18" s="86"/>
      <c r="K18" s="86"/>
      <c r="L18" s="44"/>
      <c r="N18" s="96"/>
      <c r="O18" s="97"/>
      <c r="P18" s="97"/>
      <c r="Q18" s="98"/>
      <c r="S18" s="54"/>
    </row>
    <row r="19" spans="1:19" ht="30" customHeight="1" x14ac:dyDescent="0.3">
      <c r="A19" s="59"/>
      <c r="B19" s="38"/>
      <c r="C19" s="42"/>
      <c r="D19" s="43"/>
      <c r="E19" s="86"/>
      <c r="F19" s="86"/>
      <c r="G19" s="86"/>
      <c r="H19" s="86"/>
      <c r="I19" s="86"/>
      <c r="J19" s="86"/>
      <c r="K19" s="86"/>
      <c r="L19" s="45"/>
      <c r="N19" s="96"/>
      <c r="O19" s="97"/>
      <c r="P19" s="97"/>
      <c r="Q19" s="98"/>
      <c r="S19" s="54"/>
    </row>
    <row r="20" spans="1:19" ht="30" customHeight="1" x14ac:dyDescent="0.3">
      <c r="A20" s="59"/>
      <c r="B20" s="38"/>
      <c r="C20" s="42"/>
      <c r="D20" s="43"/>
      <c r="E20" s="86"/>
      <c r="F20" s="86"/>
      <c r="G20" s="86"/>
      <c r="H20" s="86"/>
      <c r="I20" s="86"/>
      <c r="J20" s="86"/>
      <c r="K20" s="86"/>
      <c r="L20" s="44"/>
      <c r="N20" s="96"/>
      <c r="O20" s="97"/>
      <c r="P20" s="97"/>
      <c r="Q20" s="98"/>
      <c r="S20" s="54"/>
    </row>
    <row r="21" spans="1:19" ht="30" customHeight="1" x14ac:dyDescent="0.3">
      <c r="A21" s="59"/>
      <c r="B21" s="38"/>
      <c r="C21" s="42"/>
      <c r="D21" s="43"/>
      <c r="E21" s="86"/>
      <c r="F21" s="86"/>
      <c r="G21" s="86"/>
      <c r="H21" s="86"/>
      <c r="I21" s="86"/>
      <c r="J21" s="86"/>
      <c r="K21" s="86"/>
      <c r="L21" s="45"/>
      <c r="N21" s="96"/>
      <c r="O21" s="97"/>
      <c r="P21" s="97"/>
      <c r="Q21" s="98"/>
      <c r="S21" s="54"/>
    </row>
    <row r="22" spans="1:19" ht="30" customHeight="1" x14ac:dyDescent="0.3">
      <c r="A22" s="59"/>
      <c r="B22" s="38"/>
      <c r="C22" s="42"/>
      <c r="D22" s="43"/>
      <c r="E22" s="86"/>
      <c r="F22" s="86"/>
      <c r="G22" s="86"/>
      <c r="H22" s="86"/>
      <c r="I22" s="86"/>
      <c r="J22" s="86"/>
      <c r="K22" s="86"/>
      <c r="L22" s="44"/>
      <c r="N22" s="96"/>
      <c r="O22" s="97"/>
      <c r="P22" s="97"/>
      <c r="Q22" s="98"/>
      <c r="S22" s="54"/>
    </row>
    <row r="23" spans="1:19" ht="30" customHeight="1" x14ac:dyDescent="0.3">
      <c r="A23" s="59"/>
      <c r="B23" s="38"/>
      <c r="C23" s="42"/>
      <c r="D23" s="43"/>
      <c r="E23" s="86"/>
      <c r="F23" s="86"/>
      <c r="G23" s="86"/>
      <c r="H23" s="86"/>
      <c r="I23" s="86"/>
      <c r="J23" s="86"/>
      <c r="K23" s="86"/>
      <c r="L23" s="45"/>
      <c r="N23" s="96"/>
      <c r="O23" s="97"/>
      <c r="P23" s="97"/>
      <c r="Q23" s="98"/>
      <c r="S23" s="54"/>
    </row>
    <row r="24" spans="1:19" ht="30" customHeight="1" x14ac:dyDescent="0.3">
      <c r="A24" s="59"/>
      <c r="B24" s="38"/>
      <c r="C24" s="42"/>
      <c r="D24" s="43"/>
      <c r="E24" s="86"/>
      <c r="F24" s="86"/>
      <c r="G24" s="86"/>
      <c r="H24" s="86"/>
      <c r="I24" s="86"/>
      <c r="J24" s="86"/>
      <c r="K24" s="86"/>
      <c r="L24" s="46"/>
      <c r="N24" s="96"/>
      <c r="O24" s="97"/>
      <c r="P24" s="97"/>
      <c r="Q24" s="98"/>
      <c r="S24" s="54"/>
    </row>
    <row r="25" spans="1:19" ht="30" customHeight="1" x14ac:dyDescent="0.3">
      <c r="A25" s="59"/>
      <c r="B25" s="38"/>
      <c r="C25" s="42"/>
      <c r="D25" s="43"/>
      <c r="E25" s="86"/>
      <c r="F25" s="86"/>
      <c r="G25" s="86"/>
      <c r="H25" s="86"/>
      <c r="I25" s="86"/>
      <c r="J25" s="86"/>
      <c r="K25" s="86"/>
      <c r="L25" s="46"/>
      <c r="N25" s="96"/>
      <c r="O25" s="97"/>
      <c r="P25" s="97"/>
      <c r="Q25" s="98"/>
      <c r="S25" s="54"/>
    </row>
    <row r="26" spans="1:19" ht="30" customHeight="1" thickBot="1" x14ac:dyDescent="0.35">
      <c r="A26" s="59"/>
      <c r="B26" s="38"/>
      <c r="C26" s="47"/>
      <c r="D26" s="48"/>
      <c r="E26" s="87"/>
      <c r="F26" s="87"/>
      <c r="G26" s="87"/>
      <c r="H26" s="87"/>
      <c r="I26" s="87"/>
      <c r="J26" s="87"/>
      <c r="K26" s="87"/>
      <c r="L26" s="49"/>
      <c r="N26" s="96"/>
      <c r="O26" s="97"/>
      <c r="P26" s="97"/>
      <c r="Q26" s="98"/>
      <c r="S26" s="54"/>
    </row>
    <row r="27" spans="1:19" ht="30" customHeight="1" thickTop="1" x14ac:dyDescent="0.3">
      <c r="A27" s="59"/>
      <c r="B27" s="38"/>
      <c r="C27" s="38"/>
      <c r="D27" s="63"/>
      <c r="E27" s="63"/>
      <c r="F27" s="63"/>
      <c r="G27" s="63"/>
      <c r="H27" s="63"/>
      <c r="I27" s="63"/>
      <c r="J27" s="63"/>
      <c r="K27" s="63"/>
      <c r="L27" s="63"/>
      <c r="N27" s="64"/>
      <c r="O27" s="64"/>
      <c r="P27" s="62"/>
      <c r="Q27" s="65"/>
      <c r="S27" s="54"/>
    </row>
    <row r="28" spans="1:19" ht="30" customHeight="1" thickBot="1" x14ac:dyDescent="0.45">
      <c r="A28" s="58"/>
      <c r="B28" s="21"/>
      <c r="C28" s="21"/>
      <c r="D28" s="84"/>
      <c r="E28" s="37"/>
      <c r="F28" s="37"/>
      <c r="G28" s="37"/>
      <c r="H28" s="37"/>
      <c r="I28" s="37"/>
      <c r="J28" s="37"/>
      <c r="K28" s="37"/>
      <c r="L28" s="37"/>
      <c r="M28" s="36"/>
      <c r="N28" s="95" t="s">
        <v>21</v>
      </c>
      <c r="O28" s="95"/>
      <c r="P28" s="95"/>
      <c r="Q28" s="65"/>
      <c r="S28" s="54"/>
    </row>
    <row r="29" spans="1:19" ht="30" customHeight="1" thickTop="1" x14ac:dyDescent="0.3">
      <c r="A29" s="59"/>
      <c r="B29" s="38"/>
      <c r="C29" s="88" t="s">
        <v>21</v>
      </c>
      <c r="D29" s="89"/>
      <c r="E29" s="92" t="str">
        <f ca="1">TEXT(E6, "ddd dd/mm")</f>
        <v>Mon 06/07</v>
      </c>
      <c r="F29" s="92" t="str">
        <f t="shared" ref="F29:J29" ca="1" si="1">TEXT(F6, "ddd dd/mm")</f>
        <v>Tue 07/07</v>
      </c>
      <c r="G29" s="92" t="str">
        <f t="shared" ca="1" si="1"/>
        <v>Wed 08/07</v>
      </c>
      <c r="H29" s="92" t="str">
        <f t="shared" ca="1" si="1"/>
        <v>Thu 09/07</v>
      </c>
      <c r="I29" s="92" t="str">
        <f t="shared" ca="1" si="1"/>
        <v>Fri 10/07</v>
      </c>
      <c r="J29" s="92" t="str">
        <f t="shared" ca="1" si="1"/>
        <v>Sat 11/07</v>
      </c>
      <c r="K29" s="92" t="str">
        <f ca="1">TEXT(K6, "ddd dd/mm")</f>
        <v>Sun 12/07</v>
      </c>
      <c r="L29" s="39"/>
      <c r="M29" s="40"/>
      <c r="N29" s="96"/>
      <c r="O29" s="97"/>
      <c r="P29" s="97"/>
      <c r="Q29" s="98"/>
      <c r="S29" s="54"/>
    </row>
    <row r="30" spans="1:19" ht="30" customHeight="1" x14ac:dyDescent="0.3">
      <c r="A30" s="59"/>
      <c r="B30" s="38"/>
      <c r="C30" s="90"/>
      <c r="D30" s="91"/>
      <c r="E30" s="93"/>
      <c r="F30" s="93"/>
      <c r="G30" s="93"/>
      <c r="H30" s="93"/>
      <c r="I30" s="93"/>
      <c r="J30" s="93"/>
      <c r="K30" s="93"/>
      <c r="L30" s="41"/>
      <c r="N30" s="96"/>
      <c r="O30" s="97"/>
      <c r="P30" s="97"/>
      <c r="Q30" s="98"/>
      <c r="S30" s="54"/>
    </row>
    <row r="31" spans="1:19" ht="30" customHeight="1" x14ac:dyDescent="0.3">
      <c r="A31" s="59"/>
      <c r="B31" s="38"/>
      <c r="C31" s="42"/>
      <c r="D31" s="43"/>
      <c r="E31" s="86"/>
      <c r="F31" s="86"/>
      <c r="G31" s="86"/>
      <c r="H31" s="86"/>
      <c r="I31" s="86"/>
      <c r="J31" s="86"/>
      <c r="K31" s="86"/>
      <c r="L31" s="66"/>
      <c r="M31" s="67"/>
      <c r="N31" s="96"/>
      <c r="O31" s="97"/>
      <c r="P31" s="97"/>
      <c r="Q31" s="98"/>
      <c r="S31" s="54"/>
    </row>
    <row r="32" spans="1:19" ht="30" customHeight="1" x14ac:dyDescent="0.3">
      <c r="A32" s="59"/>
      <c r="B32" s="38"/>
      <c r="C32" s="42"/>
      <c r="D32" s="43"/>
      <c r="E32" s="86"/>
      <c r="F32" s="86"/>
      <c r="G32" s="86"/>
      <c r="H32" s="86"/>
      <c r="I32" s="86"/>
      <c r="J32" s="86"/>
      <c r="K32" s="86"/>
      <c r="L32" s="44"/>
      <c r="N32" s="96"/>
      <c r="O32" s="97"/>
      <c r="P32" s="97"/>
      <c r="Q32" s="98"/>
      <c r="S32" s="54"/>
    </row>
    <row r="33" spans="1:19" ht="30" customHeight="1" x14ac:dyDescent="0.3">
      <c r="A33" s="59"/>
      <c r="B33" s="38"/>
      <c r="C33" s="42"/>
      <c r="D33" s="43"/>
      <c r="E33" s="86"/>
      <c r="F33" s="86"/>
      <c r="G33" s="86"/>
      <c r="H33" s="86"/>
      <c r="I33" s="86"/>
      <c r="J33" s="86"/>
      <c r="K33" s="86"/>
      <c r="L33" s="45"/>
      <c r="N33" s="96"/>
      <c r="O33" s="97"/>
      <c r="P33" s="97"/>
      <c r="Q33" s="98"/>
      <c r="S33" s="54"/>
    </row>
    <row r="34" spans="1:19" ht="30" customHeight="1" x14ac:dyDescent="0.3">
      <c r="A34" s="59"/>
      <c r="B34" s="38"/>
      <c r="C34" s="42"/>
      <c r="D34" s="43"/>
      <c r="E34" s="86"/>
      <c r="F34" s="86"/>
      <c r="G34" s="86"/>
      <c r="H34" s="86"/>
      <c r="I34" s="86"/>
      <c r="J34" s="86"/>
      <c r="K34" s="86"/>
      <c r="L34" s="44"/>
      <c r="N34" s="96"/>
      <c r="O34" s="97"/>
      <c r="P34" s="97"/>
      <c r="Q34" s="98"/>
      <c r="S34" s="54"/>
    </row>
    <row r="35" spans="1:19" ht="30" customHeight="1" x14ac:dyDescent="0.3">
      <c r="A35" s="59"/>
      <c r="B35" s="38"/>
      <c r="C35" s="42"/>
      <c r="D35" s="43"/>
      <c r="E35" s="86"/>
      <c r="F35" s="86"/>
      <c r="G35" s="86"/>
      <c r="H35" s="86"/>
      <c r="I35" s="86"/>
      <c r="J35" s="86"/>
      <c r="K35" s="86"/>
      <c r="L35" s="45"/>
      <c r="N35" s="96"/>
      <c r="O35" s="97"/>
      <c r="P35" s="97"/>
      <c r="Q35" s="98"/>
      <c r="S35" s="54"/>
    </row>
    <row r="36" spans="1:19" ht="30" customHeight="1" x14ac:dyDescent="0.3">
      <c r="A36" s="59"/>
      <c r="B36" s="38"/>
      <c r="C36" s="42"/>
      <c r="D36" s="43"/>
      <c r="E36" s="86"/>
      <c r="F36" s="86"/>
      <c r="G36" s="86"/>
      <c r="H36" s="86"/>
      <c r="I36" s="86"/>
      <c r="J36" s="86"/>
      <c r="K36" s="86"/>
      <c r="L36" s="44"/>
      <c r="N36" s="96"/>
      <c r="O36" s="97"/>
      <c r="P36" s="97"/>
      <c r="Q36" s="98"/>
      <c r="S36" s="54"/>
    </row>
    <row r="37" spans="1:19" ht="30" customHeight="1" x14ac:dyDescent="0.3">
      <c r="A37" s="59"/>
      <c r="B37" s="38"/>
      <c r="C37" s="42"/>
      <c r="D37" s="43"/>
      <c r="E37" s="86"/>
      <c r="F37" s="86"/>
      <c r="G37" s="86"/>
      <c r="H37" s="86"/>
      <c r="I37" s="86"/>
      <c r="J37" s="86"/>
      <c r="K37" s="86"/>
      <c r="L37" s="45"/>
      <c r="N37" s="96"/>
      <c r="O37" s="97"/>
      <c r="P37" s="97"/>
      <c r="Q37" s="98"/>
      <c r="S37" s="54"/>
    </row>
    <row r="38" spans="1:19" ht="30" customHeight="1" x14ac:dyDescent="0.3">
      <c r="A38" s="59"/>
      <c r="B38" s="38"/>
      <c r="C38" s="42"/>
      <c r="D38" s="43"/>
      <c r="E38" s="86"/>
      <c r="F38" s="86"/>
      <c r="G38" s="86"/>
      <c r="H38" s="86"/>
      <c r="I38" s="86"/>
      <c r="J38" s="86"/>
      <c r="K38" s="86"/>
      <c r="L38" s="46"/>
      <c r="N38" s="96"/>
      <c r="O38" s="97"/>
      <c r="P38" s="97"/>
      <c r="Q38" s="98"/>
      <c r="S38" s="54"/>
    </row>
    <row r="39" spans="1:19" ht="30" customHeight="1" x14ac:dyDescent="0.3">
      <c r="A39" s="59"/>
      <c r="B39" s="38"/>
      <c r="C39" s="42"/>
      <c r="D39" s="43"/>
      <c r="E39" s="86"/>
      <c r="F39" s="86"/>
      <c r="G39" s="86"/>
      <c r="H39" s="86"/>
      <c r="I39" s="86"/>
      <c r="J39" s="86"/>
      <c r="K39" s="86"/>
      <c r="L39" s="46"/>
      <c r="N39" s="96"/>
      <c r="O39" s="97"/>
      <c r="P39" s="97"/>
      <c r="Q39" s="98"/>
      <c r="S39" s="54"/>
    </row>
    <row r="40" spans="1:19" ht="30" customHeight="1" thickBot="1" x14ac:dyDescent="0.35">
      <c r="A40" s="59"/>
      <c r="B40" s="38"/>
      <c r="C40" s="47"/>
      <c r="D40" s="48"/>
      <c r="E40" s="87"/>
      <c r="F40" s="87"/>
      <c r="G40" s="87"/>
      <c r="H40" s="87"/>
      <c r="I40" s="87"/>
      <c r="J40" s="87"/>
      <c r="K40" s="87"/>
      <c r="L40" s="49"/>
      <c r="N40" s="96"/>
      <c r="O40" s="97"/>
      <c r="P40" s="97"/>
      <c r="Q40" s="98"/>
      <c r="S40" s="54"/>
    </row>
    <row r="41" spans="1:19" ht="30" customHeight="1" thickTop="1" x14ac:dyDescent="0.3">
      <c r="A41" s="59"/>
      <c r="B41" s="38"/>
      <c r="C41" s="38"/>
      <c r="D41" s="63"/>
      <c r="E41" s="63"/>
      <c r="F41" s="63"/>
      <c r="G41" s="63"/>
      <c r="H41" s="63"/>
      <c r="I41" s="63"/>
      <c r="J41" s="63"/>
      <c r="K41" s="63"/>
      <c r="L41" s="63"/>
      <c r="N41" s="64"/>
      <c r="O41" s="64"/>
      <c r="P41" s="62"/>
      <c r="Q41" s="65"/>
      <c r="S41" s="54"/>
    </row>
    <row r="42" spans="1:19" ht="30" customHeight="1" thickBot="1" x14ac:dyDescent="0.45">
      <c r="A42" s="59"/>
      <c r="B42" s="38"/>
      <c r="C42" s="38"/>
      <c r="D42" s="84"/>
      <c r="E42" s="37"/>
      <c r="F42" s="37"/>
      <c r="G42" s="37"/>
      <c r="H42" s="37"/>
      <c r="I42" s="37"/>
      <c r="J42" s="37"/>
      <c r="K42" s="37"/>
      <c r="L42" s="48"/>
      <c r="N42" s="95" t="s">
        <v>22</v>
      </c>
      <c r="O42" s="95"/>
      <c r="P42" s="95"/>
      <c r="Q42" s="65"/>
      <c r="S42" s="54"/>
    </row>
    <row r="43" spans="1:19" ht="30" customHeight="1" thickTop="1" x14ac:dyDescent="0.3">
      <c r="A43" s="59"/>
      <c r="B43" s="38"/>
      <c r="C43" s="88" t="s">
        <v>22</v>
      </c>
      <c r="D43" s="89"/>
      <c r="E43" s="92" t="str">
        <f ca="1">TEXT(E7, "ddd dd/mm")</f>
        <v>Mon 13/07</v>
      </c>
      <c r="F43" s="92" t="str">
        <f t="shared" ref="F43:K43" ca="1" si="2">TEXT(F7, "ddd dd/mm")</f>
        <v>Tue 14/07</v>
      </c>
      <c r="G43" s="92" t="str">
        <f t="shared" ca="1" si="2"/>
        <v>Wed 15/07</v>
      </c>
      <c r="H43" s="92" t="str">
        <f t="shared" ca="1" si="2"/>
        <v>Thu 16/07</v>
      </c>
      <c r="I43" s="92" t="str">
        <f t="shared" ca="1" si="2"/>
        <v>Fri 17/07</v>
      </c>
      <c r="J43" s="92" t="str">
        <f t="shared" ca="1" si="2"/>
        <v>Sat 18/07</v>
      </c>
      <c r="K43" s="92" t="str">
        <f t="shared" ca="1" si="2"/>
        <v>Sun 19/07</v>
      </c>
      <c r="L43" s="39"/>
      <c r="N43" s="96"/>
      <c r="O43" s="97"/>
      <c r="P43" s="97"/>
      <c r="Q43" s="98"/>
      <c r="S43" s="54"/>
    </row>
    <row r="44" spans="1:19" ht="30" customHeight="1" x14ac:dyDescent="0.3">
      <c r="A44" s="59"/>
      <c r="B44" s="38"/>
      <c r="C44" s="90"/>
      <c r="D44" s="91"/>
      <c r="E44" s="93"/>
      <c r="F44" s="93"/>
      <c r="G44" s="93"/>
      <c r="H44" s="93"/>
      <c r="I44" s="93"/>
      <c r="J44" s="93"/>
      <c r="K44" s="93"/>
      <c r="L44" s="41"/>
      <c r="N44" s="96"/>
      <c r="O44" s="97"/>
      <c r="P44" s="97"/>
      <c r="Q44" s="98"/>
      <c r="S44" s="54"/>
    </row>
    <row r="45" spans="1:19" ht="30" customHeight="1" x14ac:dyDescent="0.3">
      <c r="A45" s="59"/>
      <c r="B45" s="38"/>
      <c r="C45" s="42"/>
      <c r="D45" s="43"/>
      <c r="E45" s="86"/>
      <c r="F45" s="86"/>
      <c r="G45" s="86"/>
      <c r="H45" s="86"/>
      <c r="I45" s="86"/>
      <c r="J45" s="86"/>
      <c r="K45" s="86"/>
      <c r="L45" s="66"/>
      <c r="N45" s="96"/>
      <c r="O45" s="97"/>
      <c r="P45" s="97"/>
      <c r="Q45" s="98"/>
      <c r="S45" s="54"/>
    </row>
    <row r="46" spans="1:19" ht="30" customHeight="1" x14ac:dyDescent="0.3">
      <c r="A46" s="59"/>
      <c r="B46" s="38"/>
      <c r="C46" s="42"/>
      <c r="D46" s="43"/>
      <c r="E46" s="86"/>
      <c r="F46" s="86"/>
      <c r="G46" s="86"/>
      <c r="H46" s="86"/>
      <c r="I46" s="86"/>
      <c r="J46" s="86"/>
      <c r="K46" s="86"/>
      <c r="L46" s="44"/>
      <c r="N46" s="96"/>
      <c r="O46" s="97"/>
      <c r="P46" s="97"/>
      <c r="Q46" s="98"/>
      <c r="S46" s="54"/>
    </row>
    <row r="47" spans="1:19" ht="30" customHeight="1" x14ac:dyDescent="0.3">
      <c r="A47" s="59"/>
      <c r="B47" s="38"/>
      <c r="C47" s="42"/>
      <c r="D47" s="43"/>
      <c r="E47" s="86"/>
      <c r="F47" s="86"/>
      <c r="G47" s="86"/>
      <c r="H47" s="86"/>
      <c r="I47" s="86"/>
      <c r="J47" s="86"/>
      <c r="K47" s="86"/>
      <c r="L47" s="45"/>
      <c r="N47" s="96"/>
      <c r="O47" s="97"/>
      <c r="P47" s="97"/>
      <c r="Q47" s="98"/>
      <c r="S47" s="54"/>
    </row>
    <row r="48" spans="1:19" ht="30" customHeight="1" x14ac:dyDescent="0.3">
      <c r="A48" s="59"/>
      <c r="B48" s="38"/>
      <c r="C48" s="42"/>
      <c r="D48" s="43"/>
      <c r="E48" s="86"/>
      <c r="F48" s="86"/>
      <c r="G48" s="86"/>
      <c r="H48" s="86"/>
      <c r="I48" s="86"/>
      <c r="J48" s="86"/>
      <c r="K48" s="86"/>
      <c r="L48" s="44"/>
      <c r="N48" s="96"/>
      <c r="O48" s="97"/>
      <c r="P48" s="97"/>
      <c r="Q48" s="98"/>
      <c r="S48" s="54"/>
    </row>
    <row r="49" spans="1:19" ht="30" customHeight="1" x14ac:dyDescent="0.3">
      <c r="A49" s="59"/>
      <c r="B49" s="38"/>
      <c r="C49" s="42"/>
      <c r="D49" s="43"/>
      <c r="E49" s="86"/>
      <c r="F49" s="86"/>
      <c r="G49" s="86"/>
      <c r="H49" s="86"/>
      <c r="I49" s="86"/>
      <c r="J49" s="86"/>
      <c r="K49" s="86"/>
      <c r="L49" s="45"/>
      <c r="N49" s="96"/>
      <c r="O49" s="97"/>
      <c r="P49" s="97"/>
      <c r="Q49" s="98"/>
      <c r="S49" s="54"/>
    </row>
    <row r="50" spans="1:19" ht="30" customHeight="1" x14ac:dyDescent="0.3">
      <c r="A50" s="59"/>
      <c r="B50" s="38"/>
      <c r="C50" s="42"/>
      <c r="D50" s="43"/>
      <c r="E50" s="86"/>
      <c r="F50" s="86"/>
      <c r="G50" s="86"/>
      <c r="H50" s="86"/>
      <c r="I50" s="86"/>
      <c r="J50" s="86"/>
      <c r="K50" s="86"/>
      <c r="L50" s="44"/>
      <c r="N50" s="96"/>
      <c r="O50" s="97"/>
      <c r="P50" s="97"/>
      <c r="Q50" s="98"/>
      <c r="S50" s="54"/>
    </row>
    <row r="51" spans="1:19" ht="30" customHeight="1" x14ac:dyDescent="0.3">
      <c r="A51" s="59"/>
      <c r="B51" s="38"/>
      <c r="C51" s="42"/>
      <c r="D51" s="43"/>
      <c r="E51" s="86"/>
      <c r="F51" s="86"/>
      <c r="G51" s="86"/>
      <c r="H51" s="86"/>
      <c r="I51" s="86"/>
      <c r="J51" s="86"/>
      <c r="K51" s="86"/>
      <c r="L51" s="45"/>
      <c r="N51" s="96"/>
      <c r="O51" s="97"/>
      <c r="P51" s="97"/>
      <c r="Q51" s="98"/>
      <c r="S51" s="54"/>
    </row>
    <row r="52" spans="1:19" ht="30" customHeight="1" x14ac:dyDescent="0.3">
      <c r="A52" s="59"/>
      <c r="B52" s="38"/>
      <c r="C52" s="42"/>
      <c r="D52" s="43"/>
      <c r="E52" s="86"/>
      <c r="F52" s="86"/>
      <c r="G52" s="86"/>
      <c r="H52" s="86"/>
      <c r="I52" s="86"/>
      <c r="J52" s="86"/>
      <c r="K52" s="86"/>
      <c r="L52" s="46"/>
      <c r="N52" s="96"/>
      <c r="O52" s="97"/>
      <c r="P52" s="97"/>
      <c r="Q52" s="98"/>
      <c r="S52" s="54"/>
    </row>
    <row r="53" spans="1:19" ht="30" customHeight="1" x14ac:dyDescent="0.3">
      <c r="A53" s="59"/>
      <c r="B53" s="38"/>
      <c r="C53" s="42"/>
      <c r="D53" s="43"/>
      <c r="E53" s="86"/>
      <c r="F53" s="86"/>
      <c r="G53" s="86"/>
      <c r="H53" s="86"/>
      <c r="I53" s="86"/>
      <c r="J53" s="86"/>
      <c r="K53" s="86"/>
      <c r="L53" s="46"/>
      <c r="N53" s="96"/>
      <c r="O53" s="97"/>
      <c r="P53" s="97"/>
      <c r="Q53" s="98"/>
      <c r="S53" s="54"/>
    </row>
    <row r="54" spans="1:19" ht="30" customHeight="1" thickBot="1" x14ac:dyDescent="0.35">
      <c r="A54" s="59"/>
      <c r="B54" s="38"/>
      <c r="C54" s="47"/>
      <c r="D54" s="48"/>
      <c r="E54" s="87"/>
      <c r="F54" s="87"/>
      <c r="G54" s="87"/>
      <c r="H54" s="87"/>
      <c r="I54" s="87"/>
      <c r="J54" s="87"/>
      <c r="K54" s="87"/>
      <c r="L54" s="49"/>
      <c r="N54" s="96"/>
      <c r="O54" s="97"/>
      <c r="P54" s="97"/>
      <c r="Q54" s="98"/>
      <c r="S54" s="54"/>
    </row>
    <row r="55" spans="1:19" ht="30" customHeight="1" thickTop="1" x14ac:dyDescent="0.3">
      <c r="A55" s="59"/>
      <c r="B55" s="38"/>
      <c r="C55" s="38"/>
      <c r="D55" s="63"/>
      <c r="E55" s="63"/>
      <c r="F55" s="63"/>
      <c r="G55" s="63"/>
      <c r="H55" s="63"/>
      <c r="I55" s="63"/>
      <c r="J55" s="63"/>
      <c r="K55" s="63"/>
      <c r="L55" s="63"/>
      <c r="N55" s="64"/>
      <c r="O55" s="64"/>
      <c r="P55" s="62"/>
      <c r="Q55" s="65"/>
      <c r="S55" s="54"/>
    </row>
    <row r="56" spans="1:19" ht="30" customHeight="1" thickBot="1" x14ac:dyDescent="0.45">
      <c r="A56" s="59"/>
      <c r="B56" s="38"/>
      <c r="C56" s="38"/>
      <c r="D56" s="84"/>
      <c r="E56" s="63"/>
      <c r="F56" s="63"/>
      <c r="G56" s="63"/>
      <c r="H56" s="63"/>
      <c r="I56" s="63"/>
      <c r="J56" s="63"/>
      <c r="K56" s="63"/>
      <c r="L56" s="63"/>
      <c r="N56" s="95" t="s">
        <v>23</v>
      </c>
      <c r="O56" s="95"/>
      <c r="P56" s="95"/>
      <c r="Q56" s="65"/>
      <c r="S56" s="54"/>
    </row>
    <row r="57" spans="1:19" ht="30" customHeight="1" thickTop="1" x14ac:dyDescent="0.3">
      <c r="A57" s="59"/>
      <c r="B57" s="38"/>
      <c r="C57" s="88" t="s">
        <v>23</v>
      </c>
      <c r="D57" s="89"/>
      <c r="E57" s="92" t="str">
        <f ca="1">TEXT(E8, "ddd dd/mm")</f>
        <v>Mon 20/07</v>
      </c>
      <c r="F57" s="92" t="str">
        <f t="shared" ref="F57:K57" ca="1" si="3">TEXT(F8, "ddd dd/mm")</f>
        <v>Tue 21/07</v>
      </c>
      <c r="G57" s="92" t="str">
        <f t="shared" ca="1" si="3"/>
        <v>Wed 22/07</v>
      </c>
      <c r="H57" s="92" t="str">
        <f t="shared" ca="1" si="3"/>
        <v>Thu 23/07</v>
      </c>
      <c r="I57" s="92" t="str">
        <f t="shared" ca="1" si="3"/>
        <v>Fri 24/07</v>
      </c>
      <c r="J57" s="92" t="str">
        <f t="shared" ca="1" si="3"/>
        <v>Sat 25/07</v>
      </c>
      <c r="K57" s="92" t="str">
        <f t="shared" ca="1" si="3"/>
        <v>Sun 26/07</v>
      </c>
      <c r="L57" s="39"/>
      <c r="N57" s="96"/>
      <c r="O57" s="97"/>
      <c r="P57" s="97"/>
      <c r="Q57" s="98"/>
      <c r="S57" s="54"/>
    </row>
    <row r="58" spans="1:19" ht="30" customHeight="1" x14ac:dyDescent="0.3">
      <c r="A58" s="59"/>
      <c r="B58" s="38"/>
      <c r="C58" s="90"/>
      <c r="D58" s="91"/>
      <c r="E58" s="93"/>
      <c r="F58" s="93"/>
      <c r="G58" s="93"/>
      <c r="H58" s="93"/>
      <c r="I58" s="93"/>
      <c r="J58" s="93"/>
      <c r="K58" s="93"/>
      <c r="L58" s="41"/>
      <c r="N58" s="96"/>
      <c r="O58" s="97"/>
      <c r="P58" s="97"/>
      <c r="Q58" s="98"/>
      <c r="S58" s="54"/>
    </row>
    <row r="59" spans="1:19" ht="30" customHeight="1" x14ac:dyDescent="0.3">
      <c r="A59" s="59"/>
      <c r="B59" s="38"/>
      <c r="C59" s="42"/>
      <c r="D59" s="43"/>
      <c r="E59" s="86"/>
      <c r="F59" s="86"/>
      <c r="G59" s="86"/>
      <c r="H59" s="86"/>
      <c r="I59" s="86"/>
      <c r="J59" s="86"/>
      <c r="K59" s="86"/>
      <c r="L59" s="66"/>
      <c r="N59" s="96"/>
      <c r="O59" s="97"/>
      <c r="P59" s="97"/>
      <c r="Q59" s="98"/>
      <c r="S59" s="54"/>
    </row>
    <row r="60" spans="1:19" ht="30" customHeight="1" x14ac:dyDescent="0.3">
      <c r="A60" s="59"/>
      <c r="B60" s="38"/>
      <c r="C60" s="42"/>
      <c r="D60" s="43"/>
      <c r="E60" s="86"/>
      <c r="F60" s="86"/>
      <c r="G60" s="86"/>
      <c r="H60" s="86"/>
      <c r="I60" s="86"/>
      <c r="J60" s="86"/>
      <c r="K60" s="86"/>
      <c r="L60" s="44"/>
      <c r="N60" s="96"/>
      <c r="O60" s="97"/>
      <c r="P60" s="97"/>
      <c r="Q60" s="98"/>
      <c r="S60" s="54"/>
    </row>
    <row r="61" spans="1:19" ht="30" customHeight="1" x14ac:dyDescent="0.3">
      <c r="A61" s="59"/>
      <c r="B61" s="38"/>
      <c r="C61" s="42"/>
      <c r="D61" s="43"/>
      <c r="E61" s="86"/>
      <c r="F61" s="86"/>
      <c r="G61" s="86"/>
      <c r="H61" s="86"/>
      <c r="I61" s="86"/>
      <c r="J61" s="86"/>
      <c r="K61" s="86"/>
      <c r="L61" s="45"/>
      <c r="N61" s="96"/>
      <c r="O61" s="97"/>
      <c r="P61" s="97"/>
      <c r="Q61" s="98"/>
      <c r="S61" s="54"/>
    </row>
    <row r="62" spans="1:19" ht="30" customHeight="1" x14ac:dyDescent="0.3">
      <c r="A62" s="59"/>
      <c r="B62" s="38"/>
      <c r="C62" s="42"/>
      <c r="D62" s="43"/>
      <c r="E62" s="86"/>
      <c r="F62" s="86"/>
      <c r="G62" s="86"/>
      <c r="H62" s="86"/>
      <c r="I62" s="86"/>
      <c r="J62" s="86"/>
      <c r="K62" s="86"/>
      <c r="L62" s="44"/>
      <c r="N62" s="96"/>
      <c r="O62" s="97"/>
      <c r="P62" s="97"/>
      <c r="Q62" s="98"/>
      <c r="S62" s="54"/>
    </row>
    <row r="63" spans="1:19" ht="30" customHeight="1" x14ac:dyDescent="0.3">
      <c r="A63" s="59"/>
      <c r="B63" s="38"/>
      <c r="C63" s="42"/>
      <c r="D63" s="43"/>
      <c r="E63" s="86"/>
      <c r="F63" s="86"/>
      <c r="G63" s="86"/>
      <c r="H63" s="86"/>
      <c r="I63" s="86"/>
      <c r="J63" s="86"/>
      <c r="K63" s="86"/>
      <c r="L63" s="45"/>
      <c r="N63" s="96"/>
      <c r="O63" s="97"/>
      <c r="P63" s="97"/>
      <c r="Q63" s="98"/>
      <c r="S63" s="54"/>
    </row>
    <row r="64" spans="1:19" ht="30" customHeight="1" x14ac:dyDescent="0.3">
      <c r="A64" s="59"/>
      <c r="B64" s="38"/>
      <c r="C64" s="42"/>
      <c r="D64" s="43"/>
      <c r="E64" s="86"/>
      <c r="F64" s="86"/>
      <c r="G64" s="86"/>
      <c r="H64" s="86"/>
      <c r="I64" s="86"/>
      <c r="J64" s="86"/>
      <c r="K64" s="86"/>
      <c r="L64" s="44"/>
      <c r="N64" s="96"/>
      <c r="O64" s="97"/>
      <c r="P64" s="97"/>
      <c r="Q64" s="98"/>
      <c r="S64" s="54"/>
    </row>
    <row r="65" spans="1:21" ht="30" customHeight="1" x14ac:dyDescent="0.3">
      <c r="A65" s="59"/>
      <c r="B65" s="38"/>
      <c r="C65" s="42"/>
      <c r="D65" s="43"/>
      <c r="E65" s="86"/>
      <c r="F65" s="86"/>
      <c r="G65" s="86"/>
      <c r="H65" s="86"/>
      <c r="I65" s="86"/>
      <c r="J65" s="86"/>
      <c r="K65" s="86"/>
      <c r="L65" s="45"/>
      <c r="N65" s="96"/>
      <c r="O65" s="97"/>
      <c r="P65" s="97"/>
      <c r="Q65" s="98"/>
      <c r="S65" s="54"/>
    </row>
    <row r="66" spans="1:21" ht="30" customHeight="1" x14ac:dyDescent="0.3">
      <c r="A66" s="59"/>
      <c r="B66" s="38"/>
      <c r="C66" s="42"/>
      <c r="D66" s="43"/>
      <c r="E66" s="86"/>
      <c r="F66" s="86"/>
      <c r="G66" s="86"/>
      <c r="H66" s="86"/>
      <c r="I66" s="86"/>
      <c r="J66" s="86"/>
      <c r="K66" s="86"/>
      <c r="L66" s="46"/>
      <c r="N66" s="96"/>
      <c r="O66" s="97"/>
      <c r="P66" s="97"/>
      <c r="Q66" s="98"/>
      <c r="S66" s="54"/>
    </row>
    <row r="67" spans="1:21" ht="30" customHeight="1" x14ac:dyDescent="0.3">
      <c r="A67" s="59"/>
      <c r="B67" s="38"/>
      <c r="C67" s="42"/>
      <c r="D67" s="43"/>
      <c r="E67" s="86"/>
      <c r="F67" s="86"/>
      <c r="G67" s="86"/>
      <c r="H67" s="86"/>
      <c r="I67" s="86"/>
      <c r="J67" s="86"/>
      <c r="K67" s="86"/>
      <c r="L67" s="46"/>
      <c r="N67" s="96"/>
      <c r="O67" s="97"/>
      <c r="P67" s="97"/>
      <c r="Q67" s="98"/>
      <c r="S67" s="54"/>
    </row>
    <row r="68" spans="1:21" ht="30" customHeight="1" thickBot="1" x14ac:dyDescent="0.35">
      <c r="A68" s="59"/>
      <c r="B68" s="38"/>
      <c r="C68" s="47"/>
      <c r="D68" s="48"/>
      <c r="E68" s="87"/>
      <c r="F68" s="87"/>
      <c r="G68" s="87"/>
      <c r="H68" s="87"/>
      <c r="I68" s="87"/>
      <c r="J68" s="87"/>
      <c r="K68" s="87"/>
      <c r="L68" s="49"/>
      <c r="N68" s="96"/>
      <c r="O68" s="97"/>
      <c r="P68" s="97"/>
      <c r="Q68" s="98"/>
      <c r="S68" s="54"/>
    </row>
    <row r="69" spans="1:21" ht="30" customHeight="1" thickTop="1" x14ac:dyDescent="0.3">
      <c r="A69" s="59"/>
      <c r="B69" s="38"/>
      <c r="C69" s="38"/>
      <c r="D69" s="63"/>
      <c r="E69" s="63"/>
      <c r="F69" s="63"/>
      <c r="G69" s="63"/>
      <c r="H69" s="63"/>
      <c r="I69" s="63"/>
      <c r="J69" s="63"/>
      <c r="K69" s="63"/>
      <c r="L69" s="63"/>
      <c r="N69" s="64"/>
      <c r="O69" s="64"/>
      <c r="P69" s="62"/>
      <c r="Q69" s="65"/>
      <c r="S69" s="54"/>
    </row>
    <row r="70" spans="1:21" ht="30" customHeight="1" thickBot="1" x14ac:dyDescent="0.45">
      <c r="A70" s="59"/>
      <c r="B70" s="38"/>
      <c r="C70" s="38"/>
      <c r="D70" s="84"/>
      <c r="E70" s="63"/>
      <c r="F70" s="63"/>
      <c r="G70" s="63"/>
      <c r="H70" s="63"/>
      <c r="I70" s="63"/>
      <c r="J70" s="63"/>
      <c r="K70" s="63"/>
      <c r="L70" s="63"/>
      <c r="N70" s="95" t="s">
        <v>24</v>
      </c>
      <c r="O70" s="95"/>
      <c r="P70" s="95"/>
      <c r="Q70" s="65"/>
      <c r="S70" s="54"/>
    </row>
    <row r="71" spans="1:21" ht="30" customHeight="1" thickTop="1" x14ac:dyDescent="0.3">
      <c r="A71" s="59"/>
      <c r="B71" s="38"/>
      <c r="C71" s="88" t="s">
        <v>24</v>
      </c>
      <c r="D71" s="89"/>
      <c r="E71" s="92" t="str">
        <f ca="1">TEXT(E9, "ddd dd/mm")</f>
        <v>Mon 27/07</v>
      </c>
      <c r="F71" s="92" t="str">
        <f t="shared" ref="F71:I71" ca="1" si="4">TEXT(F9, "ddd dd/mm")</f>
        <v>Tue 28/07</v>
      </c>
      <c r="G71" s="92" t="str">
        <f t="shared" ca="1" si="4"/>
        <v>Wed 29/07</v>
      </c>
      <c r="H71" s="92" t="str">
        <f t="shared" ca="1" si="4"/>
        <v>Thu 30/07</v>
      </c>
      <c r="I71" s="92" t="str">
        <f t="shared" ca="1" si="4"/>
        <v>Fri 31/07</v>
      </c>
      <c r="J71" s="92"/>
      <c r="K71" s="92"/>
      <c r="L71" s="39"/>
      <c r="N71" s="96"/>
      <c r="O71" s="97"/>
      <c r="P71" s="97"/>
      <c r="Q71" s="98"/>
      <c r="S71" s="54"/>
    </row>
    <row r="72" spans="1:21" ht="30" customHeight="1" x14ac:dyDescent="0.3">
      <c r="A72" s="59"/>
      <c r="B72" s="38"/>
      <c r="C72" s="90"/>
      <c r="D72" s="91"/>
      <c r="E72" s="93"/>
      <c r="F72" s="93"/>
      <c r="G72" s="93"/>
      <c r="H72" s="93"/>
      <c r="I72" s="93"/>
      <c r="J72" s="93"/>
      <c r="K72" s="93"/>
      <c r="L72" s="41"/>
      <c r="N72" s="96"/>
      <c r="O72" s="97"/>
      <c r="P72" s="97"/>
      <c r="Q72" s="98"/>
      <c r="R72" s="3"/>
      <c r="S72" s="54"/>
      <c r="T72" s="3"/>
      <c r="U72" s="3"/>
    </row>
    <row r="73" spans="1:21" ht="30" customHeight="1" x14ac:dyDescent="0.3">
      <c r="A73" s="59"/>
      <c r="B73" s="38"/>
      <c r="C73" s="42"/>
      <c r="D73" s="43"/>
      <c r="E73" s="86"/>
      <c r="F73" s="86"/>
      <c r="G73" s="86"/>
      <c r="H73" s="86"/>
      <c r="I73" s="86"/>
      <c r="J73" s="86"/>
      <c r="K73" s="86"/>
      <c r="L73" s="66"/>
      <c r="N73" s="96"/>
      <c r="O73" s="97"/>
      <c r="P73" s="97"/>
      <c r="Q73" s="98"/>
      <c r="S73" s="54"/>
    </row>
    <row r="74" spans="1:21" ht="30" customHeight="1" x14ac:dyDescent="0.3">
      <c r="A74" s="59"/>
      <c r="B74" s="38"/>
      <c r="C74" s="42"/>
      <c r="D74" s="43"/>
      <c r="E74" s="86"/>
      <c r="F74" s="86"/>
      <c r="G74" s="86"/>
      <c r="H74" s="86"/>
      <c r="I74" s="86"/>
      <c r="J74" s="86"/>
      <c r="K74" s="86"/>
      <c r="L74" s="44"/>
      <c r="N74" s="96"/>
      <c r="O74" s="97"/>
      <c r="P74" s="97"/>
      <c r="Q74" s="98"/>
      <c r="S74" s="54"/>
    </row>
    <row r="75" spans="1:21" ht="30" customHeight="1" x14ac:dyDescent="0.3">
      <c r="A75" s="59"/>
      <c r="B75" s="38"/>
      <c r="C75" s="42"/>
      <c r="D75" s="43"/>
      <c r="E75" s="86"/>
      <c r="F75" s="86"/>
      <c r="G75" s="86"/>
      <c r="H75" s="86"/>
      <c r="I75" s="86"/>
      <c r="J75" s="86"/>
      <c r="K75" s="86"/>
      <c r="L75" s="45"/>
      <c r="N75" s="96"/>
      <c r="O75" s="97"/>
      <c r="P75" s="97"/>
      <c r="Q75" s="98"/>
      <c r="S75" s="54"/>
    </row>
    <row r="76" spans="1:21" ht="30" customHeight="1" x14ac:dyDescent="0.3">
      <c r="A76" s="59"/>
      <c r="B76" s="38"/>
      <c r="C76" s="42"/>
      <c r="D76" s="43"/>
      <c r="E76" s="86"/>
      <c r="F76" s="86"/>
      <c r="G76" s="86"/>
      <c r="H76" s="86"/>
      <c r="I76" s="86"/>
      <c r="J76" s="86"/>
      <c r="K76" s="86"/>
      <c r="L76" s="44"/>
      <c r="N76" s="96"/>
      <c r="O76" s="97"/>
      <c r="P76" s="97"/>
      <c r="Q76" s="98"/>
      <c r="S76" s="54"/>
    </row>
    <row r="77" spans="1:21" ht="30" customHeight="1" x14ac:dyDescent="0.3">
      <c r="A77" s="59"/>
      <c r="B77" s="38"/>
      <c r="C77" s="42"/>
      <c r="D77" s="43"/>
      <c r="E77" s="86"/>
      <c r="F77" s="86"/>
      <c r="G77" s="86"/>
      <c r="H77" s="86"/>
      <c r="I77" s="86"/>
      <c r="J77" s="86"/>
      <c r="K77" s="86"/>
      <c r="L77" s="45"/>
      <c r="N77" s="96"/>
      <c r="O77" s="97"/>
      <c r="P77" s="97"/>
      <c r="Q77" s="98"/>
      <c r="S77" s="54"/>
    </row>
    <row r="78" spans="1:21" ht="30" customHeight="1" x14ac:dyDescent="0.3">
      <c r="A78" s="59"/>
      <c r="B78" s="38"/>
      <c r="C78" s="42"/>
      <c r="D78" s="43"/>
      <c r="E78" s="86"/>
      <c r="F78" s="86"/>
      <c r="G78" s="86"/>
      <c r="H78" s="86"/>
      <c r="I78" s="86"/>
      <c r="J78" s="86"/>
      <c r="K78" s="86"/>
      <c r="L78" s="44"/>
      <c r="N78" s="96"/>
      <c r="O78" s="97"/>
      <c r="P78" s="97"/>
      <c r="Q78" s="98"/>
      <c r="S78" s="54"/>
    </row>
    <row r="79" spans="1:21" ht="30" customHeight="1" x14ac:dyDescent="0.3">
      <c r="A79" s="59"/>
      <c r="B79" s="38"/>
      <c r="C79" s="42"/>
      <c r="D79" s="43"/>
      <c r="E79" s="86"/>
      <c r="F79" s="86"/>
      <c r="G79" s="86"/>
      <c r="H79" s="86"/>
      <c r="I79" s="86"/>
      <c r="J79" s="86"/>
      <c r="K79" s="86"/>
      <c r="L79" s="45"/>
      <c r="N79" s="96"/>
      <c r="O79" s="97"/>
      <c r="P79" s="97"/>
      <c r="Q79" s="98"/>
      <c r="S79" s="54"/>
    </row>
    <row r="80" spans="1:21" ht="30" customHeight="1" x14ac:dyDescent="0.3">
      <c r="A80" s="59"/>
      <c r="B80" s="38"/>
      <c r="C80" s="42"/>
      <c r="D80" s="43"/>
      <c r="E80" s="86"/>
      <c r="F80" s="86"/>
      <c r="G80" s="86"/>
      <c r="H80" s="86"/>
      <c r="I80" s="86"/>
      <c r="J80" s="86"/>
      <c r="K80" s="86"/>
      <c r="L80" s="46"/>
      <c r="N80" s="96"/>
      <c r="O80" s="97"/>
      <c r="P80" s="97"/>
      <c r="Q80" s="98"/>
      <c r="S80" s="54"/>
    </row>
    <row r="81" spans="1:19" ht="30" customHeight="1" x14ac:dyDescent="0.3">
      <c r="A81" s="59"/>
      <c r="B81" s="38"/>
      <c r="C81" s="42"/>
      <c r="D81" s="43"/>
      <c r="E81" s="86"/>
      <c r="F81" s="86"/>
      <c r="G81" s="86"/>
      <c r="H81" s="86"/>
      <c r="I81" s="86"/>
      <c r="J81" s="86"/>
      <c r="K81" s="86"/>
      <c r="L81" s="46"/>
      <c r="N81" s="96"/>
      <c r="O81" s="97"/>
      <c r="P81" s="97"/>
      <c r="Q81" s="98"/>
      <c r="S81" s="54"/>
    </row>
    <row r="82" spans="1:19" ht="30" customHeight="1" thickBot="1" x14ac:dyDescent="0.35">
      <c r="A82" s="59"/>
      <c r="B82" s="38"/>
      <c r="C82" s="47"/>
      <c r="D82" s="48"/>
      <c r="E82" s="87"/>
      <c r="F82" s="87"/>
      <c r="G82" s="87"/>
      <c r="H82" s="87"/>
      <c r="I82" s="87"/>
      <c r="J82" s="87"/>
      <c r="K82" s="87"/>
      <c r="L82" s="49"/>
      <c r="N82" s="96"/>
      <c r="O82" s="97"/>
      <c r="P82" s="97"/>
      <c r="Q82" s="98"/>
      <c r="S82" s="54"/>
    </row>
    <row r="83" spans="1:19" ht="30" customHeight="1" thickTop="1" x14ac:dyDescent="0.3">
      <c r="A83" s="59"/>
      <c r="B83" s="38"/>
      <c r="C83" s="38"/>
      <c r="D83" s="63"/>
      <c r="E83" s="63"/>
      <c r="F83" s="63"/>
      <c r="G83" s="63"/>
      <c r="H83" s="63"/>
      <c r="I83" s="63"/>
      <c r="J83" s="63"/>
      <c r="K83" s="63"/>
      <c r="L83" s="63"/>
      <c r="N83" s="64"/>
      <c r="O83" s="64"/>
      <c r="P83" s="62"/>
      <c r="Q83" s="65"/>
      <c r="S83" s="54"/>
    </row>
    <row r="84" spans="1:19" ht="30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6"/>
      <c r="O84" s="56"/>
      <c r="P84" s="54"/>
      <c r="Q84" s="57"/>
      <c r="R84" s="54"/>
      <c r="S84" s="54"/>
    </row>
  </sheetData>
  <sheetProtection sheet="1" objects="1" scenarios="1" selectLockedCells="1"/>
  <dataConsolidate/>
  <mergeCells count="106">
    <mergeCell ref="C57:D58"/>
    <mergeCell ref="C71:D72"/>
    <mergeCell ref="N25:Q25"/>
    <mergeCell ref="N26:Q26"/>
    <mergeCell ref="C29:D30"/>
    <mergeCell ref="C15:D16"/>
    <mergeCell ref="C43:D44"/>
    <mergeCell ref="N20:Q20"/>
    <mergeCell ref="N21:Q21"/>
    <mergeCell ref="N22:Q22"/>
    <mergeCell ref="N23:Q23"/>
    <mergeCell ref="N24:Q24"/>
    <mergeCell ref="N15:Q15"/>
    <mergeCell ref="N16:Q16"/>
    <mergeCell ref="N17:Q17"/>
    <mergeCell ref="N18:Q18"/>
    <mergeCell ref="N19:Q19"/>
    <mergeCell ref="N53:Q53"/>
    <mergeCell ref="N54:Q54"/>
    <mergeCell ref="N29:Q29"/>
    <mergeCell ref="N30:Q30"/>
    <mergeCell ref="N31:Q31"/>
    <mergeCell ref="N32:Q32"/>
    <mergeCell ref="N33:Q33"/>
    <mergeCell ref="N43:Q43"/>
    <mergeCell ref="N44:Q44"/>
    <mergeCell ref="N45:Q45"/>
    <mergeCell ref="N46:Q46"/>
    <mergeCell ref="N47:Q47"/>
    <mergeCell ref="N81:Q81"/>
    <mergeCell ref="N34:Q34"/>
    <mergeCell ref="N35:Q35"/>
    <mergeCell ref="N36:Q36"/>
    <mergeCell ref="N37:Q37"/>
    <mergeCell ref="N38:Q38"/>
    <mergeCell ref="N39:Q39"/>
    <mergeCell ref="N40:Q40"/>
    <mergeCell ref="N48:Q48"/>
    <mergeCell ref="N49:Q49"/>
    <mergeCell ref="N80:Q80"/>
    <mergeCell ref="N71:Q71"/>
    <mergeCell ref="N72:Q72"/>
    <mergeCell ref="N73:Q73"/>
    <mergeCell ref="N74:Q74"/>
    <mergeCell ref="N75:Q75"/>
    <mergeCell ref="N70:P70"/>
    <mergeCell ref="N50:Q50"/>
    <mergeCell ref="N51:Q51"/>
    <mergeCell ref="N52:Q52"/>
    <mergeCell ref="G15:G16"/>
    <mergeCell ref="H15:H16"/>
    <mergeCell ref="E57:E58"/>
    <mergeCell ref="F57:F58"/>
    <mergeCell ref="G57:G58"/>
    <mergeCell ref="H57:H58"/>
    <mergeCell ref="I57:I58"/>
    <mergeCell ref="N82:Q82"/>
    <mergeCell ref="N57:Q57"/>
    <mergeCell ref="N58:Q58"/>
    <mergeCell ref="N59:Q59"/>
    <mergeCell ref="N60:Q60"/>
    <mergeCell ref="N61:Q61"/>
    <mergeCell ref="N62:Q62"/>
    <mergeCell ref="N63:Q63"/>
    <mergeCell ref="N64:Q64"/>
    <mergeCell ref="N65:Q65"/>
    <mergeCell ref="N66:Q66"/>
    <mergeCell ref="N67:Q67"/>
    <mergeCell ref="N68:Q68"/>
    <mergeCell ref="N76:Q76"/>
    <mergeCell ref="N77:Q77"/>
    <mergeCell ref="N78:Q78"/>
    <mergeCell ref="N79:Q79"/>
    <mergeCell ref="E43:E44"/>
    <mergeCell ref="F43:F44"/>
    <mergeCell ref="G43:G44"/>
    <mergeCell ref="H43:H44"/>
    <mergeCell ref="D5:D6"/>
    <mergeCell ref="N14:P14"/>
    <mergeCell ref="N28:P28"/>
    <mergeCell ref="N42:P42"/>
    <mergeCell ref="N56:P56"/>
    <mergeCell ref="I15:I16"/>
    <mergeCell ref="J15:J16"/>
    <mergeCell ref="K15:K16"/>
    <mergeCell ref="E29:E30"/>
    <mergeCell ref="F29:F30"/>
    <mergeCell ref="G29:G30"/>
    <mergeCell ref="H29:H30"/>
    <mergeCell ref="I29:I30"/>
    <mergeCell ref="J29:J30"/>
    <mergeCell ref="K29:K30"/>
    <mergeCell ref="K43:K44"/>
    <mergeCell ref="I43:I44"/>
    <mergeCell ref="J43:J44"/>
    <mergeCell ref="E15:E16"/>
    <mergeCell ref="F15:F16"/>
    <mergeCell ref="K71:K72"/>
    <mergeCell ref="E71:E72"/>
    <mergeCell ref="F71:F72"/>
    <mergeCell ref="G71:G72"/>
    <mergeCell ref="H71:H72"/>
    <mergeCell ref="I71:I72"/>
    <mergeCell ref="J71:J72"/>
    <mergeCell ref="J57:J58"/>
    <mergeCell ref="K57:K58"/>
  </mergeCells>
  <conditionalFormatting sqref="D17:K25">
    <cfRule type="expression" dxfId="123" priority="4">
      <formula>D17&lt;&gt;""</formula>
    </cfRule>
  </conditionalFormatting>
  <conditionalFormatting sqref="D26:K27">
    <cfRule type="expression" dxfId="122" priority="15">
      <formula>COLUMN(#REF!)&gt;2</formula>
    </cfRule>
  </conditionalFormatting>
  <conditionalFormatting sqref="D31:K39">
    <cfRule type="expression" dxfId="121" priority="5">
      <formula>D31&lt;&gt;""</formula>
    </cfRule>
  </conditionalFormatting>
  <conditionalFormatting sqref="D40:K41">
    <cfRule type="expression" dxfId="120" priority="13">
      <formula>COLUMN(#REF!)&gt;2</formula>
    </cfRule>
  </conditionalFormatting>
  <conditionalFormatting sqref="D45:K53">
    <cfRule type="expression" dxfId="119" priority="3">
      <formula>D45&lt;&gt;""</formula>
    </cfRule>
  </conditionalFormatting>
  <conditionalFormatting sqref="D54:K55">
    <cfRule type="expression" dxfId="118" priority="11">
      <formula>COLUMN(#REF!)&gt;2</formula>
    </cfRule>
  </conditionalFormatting>
  <conditionalFormatting sqref="D59:K67">
    <cfRule type="expression" dxfId="117" priority="2">
      <formula>D59&lt;&gt;""</formula>
    </cfRule>
  </conditionalFormatting>
  <conditionalFormatting sqref="D68:K69">
    <cfRule type="expression" dxfId="116" priority="9">
      <formula>COLUMN(#REF!)&gt;2</formula>
    </cfRule>
  </conditionalFormatting>
  <conditionalFormatting sqref="D73:K81">
    <cfRule type="expression" dxfId="115" priority="1">
      <formula>D73&lt;&gt;""</formula>
    </cfRule>
  </conditionalFormatting>
  <conditionalFormatting sqref="D82:K83">
    <cfRule type="expression" dxfId="114" priority="7">
      <formula>COLUMN(#REF!)&gt;2</formula>
    </cfRule>
  </conditionalFormatting>
  <conditionalFormatting sqref="E5:J5">
    <cfRule type="expression" dxfId="113" priority="18" stopIfTrue="1">
      <formula>DAY(E5)&gt;8</formula>
    </cfRule>
  </conditionalFormatting>
  <conditionalFormatting sqref="E4:K10">
    <cfRule type="timePeriod" dxfId="112" priority="16" timePeriod="thisWeek">
      <formula>AND(TODAY()-ROUNDDOWN(E4,0)&lt;=WEEKDAY(TODAY())-1,ROUNDDOWN(E4,0)-TODAY()&lt;=7-WEEKDAY(TODAY()))</formula>
    </cfRule>
  </conditionalFormatting>
  <conditionalFormatting sqref="E5:K10">
    <cfRule type="expression" dxfId="111" priority="19">
      <formula>VLOOKUP(DAY(E5),$O:$O,1,FALSE)=DAY(E5)</formula>
    </cfRule>
  </conditionalFormatting>
  <conditionalFormatting sqref="E9:K10">
    <cfRule type="expression" dxfId="110" priority="17" stopIfTrue="1">
      <formula>AND(DAY(E9)&gt;=1,DAY(E9)&lt;=15)</formula>
    </cfRule>
  </conditionalFormatting>
  <conditionalFormatting sqref="E56:K56 E70:K70">
    <cfRule type="expression" dxfId="109" priority="40">
      <formula>COLUMN(#REF!)&gt;2</formula>
    </cfRule>
  </conditionalFormatting>
  <conditionalFormatting sqref="M6:M11">
    <cfRule type="expression" dxfId="108" priority="39">
      <formula>VLOOKUP(DAY(M6),AssignmentDays,1,FALSE)=DAY(M6)</formula>
    </cfRule>
  </conditionalFormatting>
  <conditionalFormatting sqref="M10:M11">
    <cfRule type="expression" dxfId="107" priority="38" stopIfTrue="1">
      <formula>AND(DAY(M10)&gt;=1,DAY(M10)&lt;=15)</formula>
    </cfRule>
  </conditionalFormatting>
  <conditionalFormatting sqref="R72 T72:U72">
    <cfRule type="expression" dxfId="106" priority="28" stopIfTrue="1">
      <formula>AND(DAY(R72)&gt;=1,DAY(R72)&lt;=15)</formula>
    </cfRule>
    <cfRule type="expression" dxfId="105" priority="37">
      <formula>VLOOKUP(DAY(R72),$O:$O,1,FALSE)=DAY(R72)</formula>
    </cfRule>
  </conditionalFormatting>
  <dataValidations count="10">
    <dataValidation allowBlank="1" showInputMessage="1" showErrorMessage="1" prompt="March calendar. Calendar year is automatically updated based on cell D5 in Jan sheet." sqref="A1" xr:uid="{BAE5467D-0F10-45FC-9611-F0FDB1BBDD2D}"/>
    <dataValidation allowBlank="1" showInputMessage="1" showErrorMessage="1" prompt="Cells E4:K4 contain weekdays" sqref="E4" xr:uid="{5D1B451E-C4DB-4257-B73A-294C2FBAD458}"/>
    <dataValidation allowBlank="1" showInputMessage="1" showErrorMessage="1" prompt="If this cell doesn’t contain the number 1, then it is a day from a previous month. Cells E5:K10 contain dates for the current month" sqref="E5" xr:uid="{2343A320-670D-4262-94A1-D1F180BB1154}"/>
    <dataValidation allowBlank="1" showInputMessage="1" showErrorMessage="1" prompt="Enter the assignment details in this column that correspond to the weekday in column N and day in column O for the calendar month at left" sqref="N4" xr:uid="{CC4F9381-3F1F-4C69-B681-7EF041579EC9}"/>
    <dataValidation allowBlank="1" showInputMessage="1" showErrorMessage="1" prompt="Calendar automatically highlights assignment list entries for the month. Darker fonts are assignments. Lighter fonts are days that belong to the previous or next month" sqref="D4" xr:uid="{77E3D49C-A223-408B-8413-28BB31A56C05}"/>
    <dataValidation allowBlank="1" showInputMessage="1" showErrorMessage="1" prompt="Calendar year is automatically updated in this cell. To change the calendar year, to go cell D5 in Jan worksheet." sqref="D5:D6" xr:uid="{F7195839-9553-443C-BE5F-52E90C37DB7B}"/>
    <dataValidation allowBlank="1" showInputMessage="1" showErrorMessage="1" prompt="Day of the week goes in this row, starting in cell D16" sqref="A29 A15" xr:uid="{DE6F789B-6C21-4057-9B3D-472A53835420}"/>
    <dataValidation allowBlank="1" showInputMessage="1" showErrorMessage="1" prompt="Weekdays are in this row, from Monday to Friday" sqref="C57 C43 C29 E29:K29 E15:K15 C15 C71" xr:uid="{83AB6DA1-5CD4-4983-BB94-545B0C30A6AD}"/>
    <dataValidation allowBlank="1" showInputMessage="1" showErrorMessage="1" prompt="If this row contains a number less than the previous number or row of numbers, then this row contains dates for the next calendar month" sqref="E10" xr:uid="{2E4AFFB4-82E1-4F91-855A-1F81C124A3F6}"/>
    <dataValidation allowBlank="1" showInputMessage="1" showErrorMessage="1" prompt="Enter the time of your class and under it, in a new row, the class name for each weekday in columns D to K. Repeat this pattern for all classes in subsequent rows" sqref="D13" xr:uid="{86E7EEAD-94E5-4DC5-87DE-D73BAF101AB3}"/>
  </dataValidations>
  <printOptions horizontalCentered="1" verticalCentered="1"/>
  <pageMargins left="0.25" right="0.25" top="0.5" bottom="0.5" header="0.3" footer="0.3"/>
  <pageSetup scale="21" orientation="landscape" r:id="rId1"/>
  <rowBreaks count="1" manualBreakCount="1">
    <brk id="1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216F-6B2F-47EA-86F0-09F026196693}">
  <sheetPr>
    <tabColor theme="6" tint="0.39997558519241921"/>
    <pageSetUpPr fitToPage="1"/>
  </sheetPr>
  <dimension ref="A1:U98"/>
  <sheetViews>
    <sheetView showGridLines="0" topLeftCell="A79" zoomScale="59" zoomScaleNormal="100" zoomScalePageLayoutView="84" workbookViewId="0">
      <selection activeCell="G91" sqref="G91"/>
    </sheetView>
  </sheetViews>
  <sheetFormatPr defaultColWidth="8.59765625" defaultRowHeight="30" customHeight="1" x14ac:dyDescent="0.25"/>
  <cols>
    <col min="1" max="2" width="5.59765625" customWidth="1"/>
    <col min="3" max="3" width="2.59765625" customWidth="1"/>
    <col min="4" max="4" width="19.5" customWidth="1"/>
    <col min="5" max="11" width="24.59765625" customWidth="1"/>
    <col min="12" max="12" width="2.59765625" customWidth="1"/>
    <col min="13" max="13" width="5.59765625" style="11" customWidth="1"/>
    <col min="14" max="14" width="12.59765625" style="50" customWidth="1"/>
    <col min="15" max="15" width="5.59765625" style="50" customWidth="1"/>
    <col min="16" max="16" width="2.59765625" customWidth="1"/>
    <col min="17" max="17" width="70.59765625" style="12" customWidth="1"/>
    <col min="18" max="19" width="5.59765625" customWidth="1"/>
  </cols>
  <sheetData>
    <row r="1" spans="1:19" ht="30" customHeight="1" x14ac:dyDescent="0.25">
      <c r="A1" s="54"/>
      <c r="B1" s="54"/>
      <c r="C1" s="54"/>
      <c r="D1" s="55"/>
      <c r="E1" s="54"/>
      <c r="F1" s="54"/>
      <c r="G1" s="54"/>
      <c r="H1" s="54"/>
      <c r="I1" s="54"/>
      <c r="J1" s="54"/>
      <c r="K1" s="54"/>
      <c r="L1" s="54"/>
      <c r="M1" s="60"/>
      <c r="N1" s="56"/>
      <c r="O1" s="56"/>
      <c r="P1" s="54"/>
      <c r="Q1" s="57"/>
      <c r="R1" s="54"/>
      <c r="S1" s="54"/>
    </row>
    <row r="2" spans="1:19" ht="30" customHeight="1" thickBot="1" x14ac:dyDescent="0.3">
      <c r="A2" s="54"/>
      <c r="D2" s="10"/>
      <c r="E2" s="10"/>
      <c r="F2" s="10"/>
      <c r="G2" s="10"/>
      <c r="H2" s="10"/>
      <c r="I2" s="10"/>
      <c r="J2" s="10"/>
      <c r="K2" s="10"/>
      <c r="N2"/>
      <c r="O2"/>
      <c r="S2" s="54"/>
    </row>
    <row r="3" spans="1:19" ht="30" customHeight="1" thickTop="1" x14ac:dyDescent="0.3">
      <c r="A3" s="54"/>
      <c r="C3" s="14"/>
      <c r="D3" s="15"/>
      <c r="E3" s="15"/>
      <c r="F3" s="15"/>
      <c r="G3" s="15"/>
      <c r="H3" s="15"/>
      <c r="I3" s="15"/>
      <c r="J3" s="15"/>
      <c r="K3" s="15"/>
      <c r="L3" s="16"/>
      <c r="N3" s="68"/>
      <c r="O3" s="64"/>
      <c r="P3" s="69"/>
      <c r="Q3" s="70"/>
      <c r="S3" s="54"/>
    </row>
    <row r="4" spans="1:19" ht="35.1" customHeight="1" x14ac:dyDescent="0.25">
      <c r="A4" s="54"/>
      <c r="C4" s="17"/>
      <c r="D4" s="1" t="s">
        <v>15</v>
      </c>
      <c r="E4" s="18" t="s">
        <v>1</v>
      </c>
      <c r="F4" s="18" t="s">
        <v>2</v>
      </c>
      <c r="G4" s="18" t="s">
        <v>3</v>
      </c>
      <c r="H4" s="18" t="s">
        <v>4</v>
      </c>
      <c r="I4" s="18" t="s">
        <v>5</v>
      </c>
      <c r="J4" s="18" t="s">
        <v>6</v>
      </c>
      <c r="K4" s="18" t="s">
        <v>7</v>
      </c>
      <c r="L4" s="19"/>
      <c r="N4" s="71"/>
      <c r="O4" s="69"/>
      <c r="P4" s="69"/>
      <c r="Q4" s="72"/>
      <c r="S4" s="54"/>
    </row>
    <row r="5" spans="1:19" ht="30" customHeight="1" x14ac:dyDescent="0.3">
      <c r="A5" s="58"/>
      <c r="B5" s="21"/>
      <c r="C5" s="22"/>
      <c r="D5" s="94">
        <f ca="1">CalendarYear</f>
        <v>2026</v>
      </c>
      <c r="E5" s="3">
        <f ca="1">IF(DAY(AugSun1)=1,AprSun1-6,AugSun1+1)</f>
        <v>46230</v>
      </c>
      <c r="F5" s="3">
        <f ca="1">IF(DAY(AugSun1)=1,AugSun1-5,AugSun1+2)</f>
        <v>46231</v>
      </c>
      <c r="G5" s="3">
        <f ca="1">IF(DAY(AugSun1)=1,AugSun1-4,AugSun1+3)</f>
        <v>46232</v>
      </c>
      <c r="H5" s="3">
        <f ca="1">IF(DAY(AugSun1)=1,AugSun1-3,AugSun1+4)</f>
        <v>46233</v>
      </c>
      <c r="I5" s="3">
        <f ca="1">IF(DAY(AugSun1)=1,AugSun1-2,AugSun1+5)</f>
        <v>46234</v>
      </c>
      <c r="J5" s="3">
        <f ca="1">IF(DAY(AugSun1)=1,AugSun1-1,AugSun1+6)</f>
        <v>46235</v>
      </c>
      <c r="K5" s="3">
        <f ca="1">IF(DAY(AugSun1)=1,AugSun1,AugSun1+7)</f>
        <v>46236</v>
      </c>
      <c r="L5" s="24"/>
      <c r="M5" s="25"/>
      <c r="N5" s="68"/>
      <c r="O5" s="69"/>
      <c r="P5" s="69"/>
      <c r="Q5" s="70"/>
      <c r="S5" s="54"/>
    </row>
    <row r="6" spans="1:19" ht="30" customHeight="1" x14ac:dyDescent="0.3">
      <c r="A6" s="58"/>
      <c r="B6" s="21"/>
      <c r="C6" s="22"/>
      <c r="D6" s="94"/>
      <c r="E6" s="3">
        <f ca="1">IF(DAY(AugSun1)=1,AugSun1+1,AugSun1+8)</f>
        <v>46237</v>
      </c>
      <c r="F6" s="3">
        <f ca="1">IF(DAY(AugSun1)=1,AugSun1+2,AugSun1+9)</f>
        <v>46238</v>
      </c>
      <c r="G6" s="3">
        <f ca="1">IF(DAY(AugSun1)=1,AugSun1+3,AugSun1+10)</f>
        <v>46239</v>
      </c>
      <c r="H6" s="3">
        <f ca="1">IF(DAY(AugSun1)=1,AugSun1+4,AugSun1+11)</f>
        <v>46240</v>
      </c>
      <c r="I6" s="3">
        <f ca="1">IF(DAY(AugSun1)=1,AugSun1+5,AugSun1+12)</f>
        <v>46241</v>
      </c>
      <c r="J6" s="3">
        <f ca="1">IF(DAY(AugSun1)=1,AugSun1+6,AugSun1+13)</f>
        <v>46242</v>
      </c>
      <c r="K6" s="3">
        <f ca="1">IF(DAY(AugSun1)=1,AugSun1+7,AugSun1+14)</f>
        <v>46243</v>
      </c>
      <c r="L6" s="24"/>
      <c r="M6" s="26"/>
      <c r="N6" s="73"/>
      <c r="O6" s="74"/>
      <c r="P6" s="74"/>
      <c r="Q6" s="70"/>
      <c r="S6" s="54"/>
    </row>
    <row r="7" spans="1:19" ht="30" customHeight="1" x14ac:dyDescent="0.25">
      <c r="A7" s="58"/>
      <c r="B7" s="21"/>
      <c r="C7" s="22"/>
      <c r="D7" s="27"/>
      <c r="E7" s="3">
        <f ca="1">IF(DAY(AugSun1)=1,AugSun1+8,AugSun1+15)</f>
        <v>46244</v>
      </c>
      <c r="F7" s="3">
        <f ca="1">IF(DAY(AugSun1)=1,AugSun1+9,AugSun1+16)</f>
        <v>46245</v>
      </c>
      <c r="G7" s="3">
        <f ca="1">IF(DAY(AugSun1)=1,AugSun1+10,AugSun1+17)</f>
        <v>46246</v>
      </c>
      <c r="H7" s="3">
        <f ca="1">IF(DAY(AugSun1)=1,AugSun1+11,AugSun1+18)</f>
        <v>46247</v>
      </c>
      <c r="I7" s="3">
        <f ca="1">IF(DAY(AugSun1)=1,AugSun1+12,AugSun1+19)</f>
        <v>46248</v>
      </c>
      <c r="J7" s="3">
        <f ca="1">IF(DAY(AugSun1)=1,AugSun1+13,AugSun1+20)</f>
        <v>46249</v>
      </c>
      <c r="K7" s="3">
        <f ca="1">IF(DAY(AugSun1)=1,AugSun1+14,AugSun1+21)</f>
        <v>46250</v>
      </c>
      <c r="L7" s="24"/>
      <c r="M7" s="26"/>
      <c r="N7" s="75"/>
      <c r="O7" s="76"/>
      <c r="P7" s="76"/>
      <c r="Q7" s="70"/>
      <c r="S7" s="54"/>
    </row>
    <row r="8" spans="1:19" ht="30" customHeight="1" x14ac:dyDescent="0.3">
      <c r="A8" s="58"/>
      <c r="B8" s="21"/>
      <c r="C8" s="22"/>
      <c r="D8" s="27"/>
      <c r="E8" s="3">
        <f ca="1">IF(DAY(AugSun1)=1,AugSun1+15,AugSun1+22)</f>
        <v>46251</v>
      </c>
      <c r="F8" s="3">
        <f ca="1">IF(DAY(AugSun1)=1,AugSun1+16,AugSun1+23)</f>
        <v>46252</v>
      </c>
      <c r="G8" s="3">
        <f ca="1">IF(DAY(AugSun1)=1,AugSun1+17,AugSun1+24)</f>
        <v>46253</v>
      </c>
      <c r="H8" s="3">
        <f ca="1">IF(DAY(AugSun1)=1,AugSun1+18,AugSun1+25)</f>
        <v>46254</v>
      </c>
      <c r="I8" s="3">
        <f ca="1">IF(DAY(AugSun1)=1,AugSun1+19,AugSun1+26)</f>
        <v>46255</v>
      </c>
      <c r="J8" s="3">
        <f ca="1">IF(DAY(AugSun1)=1,AugSun1+20,AugSun1+27)</f>
        <v>46256</v>
      </c>
      <c r="K8" s="3">
        <f ca="1">IF(DAY(AugSun1)=1,AugSun1+21,AugSun1+28)</f>
        <v>46257</v>
      </c>
      <c r="L8" s="24"/>
      <c r="M8" s="26"/>
      <c r="N8" s="77"/>
      <c r="O8" s="62"/>
      <c r="P8" s="62"/>
      <c r="Q8" s="70"/>
      <c r="S8" s="54"/>
    </row>
    <row r="9" spans="1:19" ht="30" customHeight="1" x14ac:dyDescent="0.3">
      <c r="A9" s="58"/>
      <c r="B9" s="21"/>
      <c r="C9" s="22"/>
      <c r="D9" s="27"/>
      <c r="E9" s="3">
        <f ca="1">IF(DAY(AugSun1)=1,AugSun1+22,AugSun1+29)</f>
        <v>46258</v>
      </c>
      <c r="F9" s="3">
        <f ca="1">IF(DAY(AugSun1)=1,AugSun1+23,AugSun1+30)</f>
        <v>46259</v>
      </c>
      <c r="G9" s="3">
        <f ca="1">IF(DAY(AugSun1)=1,AugSun1+24,AugSun1+31)</f>
        <v>46260</v>
      </c>
      <c r="H9" s="3">
        <f ca="1">IF(DAY(AugSun1)=1,AugSun1+25,AugSun1+32)</f>
        <v>46261</v>
      </c>
      <c r="I9" s="3">
        <f ca="1">IF(DAY(AugSun1)=1,AugSun1+26,AugSun1+33)</f>
        <v>46262</v>
      </c>
      <c r="J9" s="3">
        <f ca="1">IF(DAY(AugSun1)=1,AugSun1+27,AugSun1+34)</f>
        <v>46263</v>
      </c>
      <c r="K9" s="3">
        <f ca="1">IF(DAY(AugSun1)=1,AugSun1+28,AugSun1+35)</f>
        <v>46264</v>
      </c>
      <c r="L9" s="24"/>
      <c r="M9" s="26"/>
      <c r="N9" s="77"/>
      <c r="O9" s="62"/>
      <c r="P9" s="62"/>
      <c r="Q9" s="70"/>
      <c r="S9" s="54"/>
    </row>
    <row r="10" spans="1:19" ht="30" customHeight="1" x14ac:dyDescent="0.3">
      <c r="A10" s="58"/>
      <c r="B10" s="21"/>
      <c r="C10" s="22"/>
      <c r="D10" s="27"/>
      <c r="E10" s="3">
        <f ca="1">IF(DAY(AugSun1)=1,AugSun1+29,AugSun1+36)</f>
        <v>46265</v>
      </c>
      <c r="F10" s="3">
        <f ca="1">IF(DAY(AugSun1)=1,AugSun1+30,AugSun1+37)</f>
        <v>46266</v>
      </c>
      <c r="G10" s="3">
        <f ca="1">IF(DAY(AugSun1)=1,AugSun1+31,AugSun1+38)</f>
        <v>46267</v>
      </c>
      <c r="H10" s="3">
        <f ca="1">IF(DAY(AugSun1)=1,AugSun1+32,AugSun1+39)</f>
        <v>46268</v>
      </c>
      <c r="I10" s="3">
        <f ca="1">IF(DAY(AugSun1)=1,AugSun1+33,AugSun1+40)</f>
        <v>46269</v>
      </c>
      <c r="J10" s="3">
        <f ca="1">IF(DAY(AugSun1)=1,AugSun1+34,AugSun1+41)</f>
        <v>46270</v>
      </c>
      <c r="K10" s="3">
        <f ca="1">IF(DAY(AugSun1)=1,AugSun1+35,AugSun1+42)</f>
        <v>46271</v>
      </c>
      <c r="L10" s="30"/>
      <c r="M10" s="26"/>
      <c r="N10" s="77"/>
      <c r="O10" s="62"/>
      <c r="P10" s="62"/>
      <c r="Q10" s="78"/>
      <c r="S10" s="54"/>
    </row>
    <row r="11" spans="1:19" ht="30" customHeight="1" thickBot="1" x14ac:dyDescent="0.35">
      <c r="A11" s="58"/>
      <c r="B11" s="21"/>
      <c r="C11" s="31"/>
      <c r="D11" s="10"/>
      <c r="E11" s="10"/>
      <c r="F11" s="10"/>
      <c r="G11" s="10"/>
      <c r="H11" s="10"/>
      <c r="I11" s="10"/>
      <c r="J11" s="10"/>
      <c r="K11" s="10"/>
      <c r="L11" s="32"/>
      <c r="M11" s="33"/>
      <c r="N11" s="77"/>
      <c r="O11" s="62"/>
      <c r="P11" s="62"/>
      <c r="Q11" s="78"/>
      <c r="S11" s="54"/>
    </row>
    <row r="12" spans="1:19" ht="30" customHeight="1" thickTop="1" x14ac:dyDescent="0.25">
      <c r="A12" s="58"/>
      <c r="B12" s="21"/>
      <c r="C12" s="21"/>
      <c r="D12" s="34"/>
      <c r="E12" s="15"/>
      <c r="F12" s="15"/>
      <c r="G12" s="15"/>
      <c r="H12" s="15"/>
      <c r="I12" s="15"/>
      <c r="J12" s="15"/>
      <c r="K12" s="15"/>
      <c r="N12" s="75"/>
      <c r="O12" s="76"/>
      <c r="P12" s="76"/>
      <c r="Q12" s="65"/>
      <c r="S12" s="54"/>
    </row>
    <row r="13" spans="1:19" ht="30" customHeight="1" x14ac:dyDescent="0.25">
      <c r="A13" s="58"/>
      <c r="B13" s="21"/>
      <c r="C13" s="21"/>
      <c r="D13" s="2" t="s">
        <v>8</v>
      </c>
      <c r="E13" s="35"/>
      <c r="F13" s="35"/>
      <c r="G13" s="35"/>
      <c r="H13" s="35"/>
      <c r="I13" s="35"/>
      <c r="J13" s="35"/>
      <c r="K13" s="35"/>
      <c r="N13" s="75"/>
      <c r="O13" s="76"/>
      <c r="P13" s="76"/>
      <c r="Q13" s="65"/>
      <c r="S13" s="58"/>
    </row>
    <row r="14" spans="1:19" ht="30" customHeight="1" thickBot="1" x14ac:dyDescent="0.45">
      <c r="A14" s="58"/>
      <c r="B14" s="21"/>
      <c r="C14" s="21"/>
      <c r="D14" s="84"/>
      <c r="E14" s="37"/>
      <c r="F14" s="37"/>
      <c r="G14" s="37"/>
      <c r="H14" s="37"/>
      <c r="I14" s="37"/>
      <c r="J14" s="37"/>
      <c r="K14" s="37"/>
      <c r="L14" s="37"/>
      <c r="M14" s="36"/>
      <c r="N14" s="95" t="s">
        <v>20</v>
      </c>
      <c r="O14" s="95"/>
      <c r="P14" s="95"/>
      <c r="Q14" s="65"/>
      <c r="S14" s="54"/>
    </row>
    <row r="15" spans="1:19" ht="30" customHeight="1" thickTop="1" x14ac:dyDescent="0.3">
      <c r="A15" s="59"/>
      <c r="B15" s="38"/>
      <c r="C15" s="88" t="s">
        <v>20</v>
      </c>
      <c r="D15" s="89"/>
      <c r="E15" s="92"/>
      <c r="F15" s="92"/>
      <c r="G15" s="92"/>
      <c r="H15" s="92"/>
      <c r="I15" s="92"/>
      <c r="J15" s="92" t="str">
        <f ca="1">TEXT(J5, "ddd dd/mm")</f>
        <v>Sat 01/08</v>
      </c>
      <c r="K15" s="92" t="str">
        <f t="shared" ref="K15" ca="1" si="0">TEXT(K5, "ddd dd/mm")</f>
        <v>Sun 02/08</v>
      </c>
      <c r="L15" s="39"/>
      <c r="M15" s="40"/>
      <c r="N15" s="96"/>
      <c r="O15" s="97"/>
      <c r="P15" s="97"/>
      <c r="Q15" s="98"/>
      <c r="S15" s="54"/>
    </row>
    <row r="16" spans="1:19" ht="30" customHeight="1" x14ac:dyDescent="0.3">
      <c r="A16" s="59"/>
      <c r="B16" s="38"/>
      <c r="C16" s="90"/>
      <c r="D16" s="91"/>
      <c r="E16" s="93"/>
      <c r="F16" s="93"/>
      <c r="G16" s="93"/>
      <c r="H16" s="93"/>
      <c r="I16" s="93"/>
      <c r="J16" s="93"/>
      <c r="K16" s="93"/>
      <c r="L16" s="41"/>
      <c r="N16" s="96"/>
      <c r="O16" s="97"/>
      <c r="P16" s="97"/>
      <c r="Q16" s="98"/>
      <c r="S16" s="54"/>
    </row>
    <row r="17" spans="1:19" ht="30" customHeight="1" x14ac:dyDescent="0.3">
      <c r="A17" s="59"/>
      <c r="B17" s="38"/>
      <c r="C17" s="42"/>
      <c r="D17" s="43"/>
      <c r="E17" s="86"/>
      <c r="F17" s="86"/>
      <c r="G17" s="86"/>
      <c r="H17" s="86"/>
      <c r="I17" s="86"/>
      <c r="J17" s="86"/>
      <c r="K17" s="86"/>
      <c r="L17" s="66"/>
      <c r="M17" s="67"/>
      <c r="N17" s="96"/>
      <c r="O17" s="97"/>
      <c r="P17" s="97"/>
      <c r="Q17" s="98"/>
      <c r="S17" s="54"/>
    </row>
    <row r="18" spans="1:19" ht="30" customHeight="1" x14ac:dyDescent="0.3">
      <c r="A18" s="59"/>
      <c r="B18" s="38"/>
      <c r="C18" s="42"/>
      <c r="D18" s="43"/>
      <c r="E18" s="86"/>
      <c r="F18" s="86"/>
      <c r="G18" s="86"/>
      <c r="H18" s="86"/>
      <c r="I18" s="86"/>
      <c r="J18" s="86"/>
      <c r="K18" s="86"/>
      <c r="L18" s="44"/>
      <c r="N18" s="96"/>
      <c r="O18" s="97"/>
      <c r="P18" s="97"/>
      <c r="Q18" s="98"/>
      <c r="S18" s="54"/>
    </row>
    <row r="19" spans="1:19" ht="30" customHeight="1" x14ac:dyDescent="0.3">
      <c r="A19" s="59"/>
      <c r="B19" s="38"/>
      <c r="C19" s="42"/>
      <c r="D19" s="43"/>
      <c r="E19" s="86"/>
      <c r="F19" s="86"/>
      <c r="G19" s="86"/>
      <c r="H19" s="86"/>
      <c r="I19" s="86"/>
      <c r="J19" s="86"/>
      <c r="K19" s="86"/>
      <c r="L19" s="45"/>
      <c r="N19" s="96"/>
      <c r="O19" s="97"/>
      <c r="P19" s="97"/>
      <c r="Q19" s="98"/>
      <c r="S19" s="54"/>
    </row>
    <row r="20" spans="1:19" ht="30" customHeight="1" x14ac:dyDescent="0.3">
      <c r="A20" s="59"/>
      <c r="B20" s="38"/>
      <c r="C20" s="42"/>
      <c r="D20" s="43"/>
      <c r="E20" s="86"/>
      <c r="F20" s="86"/>
      <c r="G20" s="86"/>
      <c r="H20" s="86"/>
      <c r="I20" s="86"/>
      <c r="J20" s="86"/>
      <c r="K20" s="86"/>
      <c r="L20" s="44"/>
      <c r="N20" s="96"/>
      <c r="O20" s="97"/>
      <c r="P20" s="97"/>
      <c r="Q20" s="98"/>
      <c r="S20" s="54"/>
    </row>
    <row r="21" spans="1:19" ht="30" customHeight="1" x14ac:dyDescent="0.3">
      <c r="A21" s="59"/>
      <c r="B21" s="38"/>
      <c r="C21" s="42"/>
      <c r="D21" s="43"/>
      <c r="E21" s="86"/>
      <c r="F21" s="86"/>
      <c r="G21" s="86"/>
      <c r="H21" s="86"/>
      <c r="I21" s="86"/>
      <c r="J21" s="86"/>
      <c r="K21" s="86"/>
      <c r="L21" s="45"/>
      <c r="N21" s="96"/>
      <c r="O21" s="97"/>
      <c r="P21" s="97"/>
      <c r="Q21" s="98"/>
      <c r="S21" s="54"/>
    </row>
    <row r="22" spans="1:19" ht="30" customHeight="1" x14ac:dyDescent="0.3">
      <c r="A22" s="59"/>
      <c r="B22" s="38"/>
      <c r="C22" s="42"/>
      <c r="D22" s="43"/>
      <c r="E22" s="86"/>
      <c r="F22" s="86"/>
      <c r="G22" s="86"/>
      <c r="H22" s="86"/>
      <c r="I22" s="86"/>
      <c r="J22" s="86"/>
      <c r="K22" s="86"/>
      <c r="L22" s="44"/>
      <c r="N22" s="96"/>
      <c r="O22" s="97"/>
      <c r="P22" s="97"/>
      <c r="Q22" s="98"/>
      <c r="S22" s="54"/>
    </row>
    <row r="23" spans="1:19" ht="30" customHeight="1" x14ac:dyDescent="0.3">
      <c r="A23" s="59"/>
      <c r="B23" s="38"/>
      <c r="C23" s="42"/>
      <c r="D23" s="43"/>
      <c r="E23" s="86"/>
      <c r="F23" s="86"/>
      <c r="G23" s="86"/>
      <c r="H23" s="86"/>
      <c r="I23" s="86"/>
      <c r="J23" s="86"/>
      <c r="K23" s="86"/>
      <c r="L23" s="45"/>
      <c r="N23" s="96"/>
      <c r="O23" s="97"/>
      <c r="P23" s="97"/>
      <c r="Q23" s="98"/>
      <c r="S23" s="54"/>
    </row>
    <row r="24" spans="1:19" ht="30" customHeight="1" x14ac:dyDescent="0.3">
      <c r="A24" s="59"/>
      <c r="B24" s="38"/>
      <c r="C24" s="42"/>
      <c r="D24" s="43"/>
      <c r="E24" s="86"/>
      <c r="F24" s="86"/>
      <c r="G24" s="86"/>
      <c r="H24" s="86"/>
      <c r="I24" s="86"/>
      <c r="J24" s="86"/>
      <c r="K24" s="86"/>
      <c r="L24" s="46"/>
      <c r="N24" s="96"/>
      <c r="O24" s="97"/>
      <c r="P24" s="97"/>
      <c r="Q24" s="98"/>
      <c r="S24" s="54"/>
    </row>
    <row r="25" spans="1:19" ht="30" customHeight="1" x14ac:dyDescent="0.3">
      <c r="A25" s="59"/>
      <c r="B25" s="38"/>
      <c r="C25" s="42"/>
      <c r="D25" s="43"/>
      <c r="E25" s="86"/>
      <c r="F25" s="86"/>
      <c r="G25" s="86"/>
      <c r="H25" s="86"/>
      <c r="I25" s="86"/>
      <c r="J25" s="86"/>
      <c r="K25" s="86"/>
      <c r="L25" s="46"/>
      <c r="N25" s="96"/>
      <c r="O25" s="97"/>
      <c r="P25" s="97"/>
      <c r="Q25" s="98"/>
      <c r="S25" s="54"/>
    </row>
    <row r="26" spans="1:19" ht="30" customHeight="1" thickBot="1" x14ac:dyDescent="0.35">
      <c r="A26" s="59"/>
      <c r="B26" s="38"/>
      <c r="C26" s="47"/>
      <c r="D26" s="48"/>
      <c r="E26" s="87"/>
      <c r="F26" s="87"/>
      <c r="G26" s="87"/>
      <c r="H26" s="87"/>
      <c r="I26" s="87"/>
      <c r="J26" s="87"/>
      <c r="K26" s="87"/>
      <c r="L26" s="49"/>
      <c r="N26" s="96"/>
      <c r="O26" s="97"/>
      <c r="P26" s="97"/>
      <c r="Q26" s="98"/>
      <c r="S26" s="54"/>
    </row>
    <row r="27" spans="1:19" ht="30" customHeight="1" thickTop="1" x14ac:dyDescent="0.3">
      <c r="A27" s="59"/>
      <c r="B27" s="38"/>
      <c r="C27" s="38"/>
      <c r="D27" s="63"/>
      <c r="E27" s="63"/>
      <c r="F27" s="63"/>
      <c r="G27" s="63"/>
      <c r="H27" s="63"/>
      <c r="I27" s="63"/>
      <c r="J27" s="63"/>
      <c r="K27" s="63"/>
      <c r="L27" s="63"/>
      <c r="N27" s="64"/>
      <c r="O27" s="64"/>
      <c r="P27" s="62"/>
      <c r="Q27" s="65"/>
      <c r="S27" s="54"/>
    </row>
    <row r="28" spans="1:19" ht="30" customHeight="1" thickBot="1" x14ac:dyDescent="0.45">
      <c r="A28" s="58"/>
      <c r="B28" s="21"/>
      <c r="C28" s="21"/>
      <c r="D28" s="84"/>
      <c r="E28" s="37"/>
      <c r="F28" s="37"/>
      <c r="G28" s="37"/>
      <c r="H28" s="37"/>
      <c r="I28" s="37"/>
      <c r="J28" s="37"/>
      <c r="K28" s="37"/>
      <c r="L28" s="37"/>
      <c r="M28" s="36"/>
      <c r="N28" s="95" t="s">
        <v>21</v>
      </c>
      <c r="O28" s="95"/>
      <c r="P28" s="95"/>
      <c r="Q28" s="65"/>
      <c r="S28" s="54"/>
    </row>
    <row r="29" spans="1:19" ht="30" customHeight="1" thickTop="1" x14ac:dyDescent="0.3">
      <c r="A29" s="59"/>
      <c r="B29" s="38"/>
      <c r="C29" s="88" t="s">
        <v>21</v>
      </c>
      <c r="D29" s="89"/>
      <c r="E29" s="92" t="str">
        <f ca="1">TEXT(E6, "ddd dd/mm")</f>
        <v>Mon 03/08</v>
      </c>
      <c r="F29" s="92" t="str">
        <f t="shared" ref="F29:J29" ca="1" si="1">TEXT(F6, "ddd dd/mm")</f>
        <v>Tue 04/08</v>
      </c>
      <c r="G29" s="92" t="str">
        <f t="shared" ca="1" si="1"/>
        <v>Wed 05/08</v>
      </c>
      <c r="H29" s="92" t="str">
        <f t="shared" ca="1" si="1"/>
        <v>Thu 06/08</v>
      </c>
      <c r="I29" s="92" t="str">
        <f t="shared" ca="1" si="1"/>
        <v>Fri 07/08</v>
      </c>
      <c r="J29" s="92" t="str">
        <f t="shared" ca="1" si="1"/>
        <v>Sat 08/08</v>
      </c>
      <c r="K29" s="92" t="str">
        <f ca="1">TEXT(K6, "ddd dd/mm")</f>
        <v>Sun 09/08</v>
      </c>
      <c r="L29" s="39"/>
      <c r="M29" s="40"/>
      <c r="N29" s="96"/>
      <c r="O29" s="97"/>
      <c r="P29" s="97"/>
      <c r="Q29" s="98"/>
      <c r="S29" s="54"/>
    </row>
    <row r="30" spans="1:19" ht="30" customHeight="1" x14ac:dyDescent="0.3">
      <c r="A30" s="59"/>
      <c r="B30" s="38"/>
      <c r="C30" s="90"/>
      <c r="D30" s="91"/>
      <c r="E30" s="93"/>
      <c r="F30" s="93"/>
      <c r="G30" s="93"/>
      <c r="H30" s="93"/>
      <c r="I30" s="93"/>
      <c r="J30" s="93"/>
      <c r="K30" s="93"/>
      <c r="L30" s="41"/>
      <c r="N30" s="96"/>
      <c r="O30" s="97"/>
      <c r="P30" s="97"/>
      <c r="Q30" s="98"/>
      <c r="S30" s="54"/>
    </row>
    <row r="31" spans="1:19" ht="30" customHeight="1" x14ac:dyDescent="0.3">
      <c r="A31" s="59"/>
      <c r="B31" s="38"/>
      <c r="C31" s="42"/>
      <c r="D31" s="43"/>
      <c r="E31" s="86"/>
      <c r="F31" s="86"/>
      <c r="G31" s="86"/>
      <c r="H31" s="86"/>
      <c r="I31" s="86"/>
      <c r="J31" s="86"/>
      <c r="K31" s="86"/>
      <c r="L31" s="66"/>
      <c r="M31" s="67"/>
      <c r="N31" s="96"/>
      <c r="O31" s="97"/>
      <c r="P31" s="97"/>
      <c r="Q31" s="98"/>
      <c r="S31" s="54"/>
    </row>
    <row r="32" spans="1:19" ht="30" customHeight="1" x14ac:dyDescent="0.3">
      <c r="A32" s="59"/>
      <c r="B32" s="38"/>
      <c r="C32" s="42"/>
      <c r="D32" s="43"/>
      <c r="E32" s="86"/>
      <c r="F32" s="86"/>
      <c r="G32" s="86"/>
      <c r="H32" s="86"/>
      <c r="I32" s="86"/>
      <c r="J32" s="86"/>
      <c r="K32" s="86"/>
      <c r="L32" s="44"/>
      <c r="N32" s="96"/>
      <c r="O32" s="97"/>
      <c r="P32" s="97"/>
      <c r="Q32" s="98"/>
      <c r="S32" s="54"/>
    </row>
    <row r="33" spans="1:19" ht="30" customHeight="1" x14ac:dyDescent="0.3">
      <c r="A33" s="59"/>
      <c r="B33" s="38"/>
      <c r="C33" s="42"/>
      <c r="D33" s="43"/>
      <c r="E33" s="86"/>
      <c r="F33" s="86"/>
      <c r="G33" s="86"/>
      <c r="H33" s="86"/>
      <c r="I33" s="86"/>
      <c r="J33" s="86"/>
      <c r="K33" s="86"/>
      <c r="L33" s="45"/>
      <c r="N33" s="96"/>
      <c r="O33" s="97"/>
      <c r="P33" s="97"/>
      <c r="Q33" s="98"/>
      <c r="S33" s="54"/>
    </row>
    <row r="34" spans="1:19" ht="30" customHeight="1" x14ac:dyDescent="0.3">
      <c r="A34" s="59"/>
      <c r="B34" s="38"/>
      <c r="C34" s="42"/>
      <c r="D34" s="43"/>
      <c r="E34" s="86"/>
      <c r="F34" s="86"/>
      <c r="G34" s="86"/>
      <c r="H34" s="86"/>
      <c r="I34" s="86"/>
      <c r="J34" s="86"/>
      <c r="K34" s="86"/>
      <c r="L34" s="44"/>
      <c r="N34" s="96"/>
      <c r="O34" s="97"/>
      <c r="P34" s="97"/>
      <c r="Q34" s="98"/>
      <c r="S34" s="54"/>
    </row>
    <row r="35" spans="1:19" ht="30" customHeight="1" x14ac:dyDescent="0.3">
      <c r="A35" s="59"/>
      <c r="B35" s="38"/>
      <c r="C35" s="42"/>
      <c r="D35" s="43"/>
      <c r="E35" s="86"/>
      <c r="F35" s="86"/>
      <c r="G35" s="86"/>
      <c r="H35" s="86"/>
      <c r="I35" s="86"/>
      <c r="J35" s="86"/>
      <c r="K35" s="86"/>
      <c r="L35" s="45"/>
      <c r="N35" s="96"/>
      <c r="O35" s="97"/>
      <c r="P35" s="97"/>
      <c r="Q35" s="98"/>
      <c r="S35" s="54"/>
    </row>
    <row r="36" spans="1:19" ht="30" customHeight="1" x14ac:dyDescent="0.3">
      <c r="A36" s="59"/>
      <c r="B36" s="38"/>
      <c r="C36" s="42"/>
      <c r="D36" s="43"/>
      <c r="E36" s="86"/>
      <c r="F36" s="86"/>
      <c r="G36" s="86"/>
      <c r="H36" s="86"/>
      <c r="I36" s="86"/>
      <c r="J36" s="86"/>
      <c r="K36" s="86"/>
      <c r="L36" s="44"/>
      <c r="N36" s="96"/>
      <c r="O36" s="97"/>
      <c r="P36" s="97"/>
      <c r="Q36" s="98"/>
      <c r="S36" s="54"/>
    </row>
    <row r="37" spans="1:19" ht="30" customHeight="1" x14ac:dyDescent="0.3">
      <c r="A37" s="59"/>
      <c r="B37" s="38"/>
      <c r="C37" s="42"/>
      <c r="D37" s="43"/>
      <c r="E37" s="86"/>
      <c r="F37" s="86"/>
      <c r="G37" s="86"/>
      <c r="H37" s="86"/>
      <c r="I37" s="86"/>
      <c r="J37" s="86"/>
      <c r="K37" s="86"/>
      <c r="L37" s="45"/>
      <c r="N37" s="96"/>
      <c r="O37" s="97"/>
      <c r="P37" s="97"/>
      <c r="Q37" s="98"/>
      <c r="S37" s="54"/>
    </row>
    <row r="38" spans="1:19" ht="30" customHeight="1" x14ac:dyDescent="0.3">
      <c r="A38" s="59"/>
      <c r="B38" s="38"/>
      <c r="C38" s="42"/>
      <c r="D38" s="43"/>
      <c r="E38" s="86"/>
      <c r="F38" s="86"/>
      <c r="G38" s="86"/>
      <c r="H38" s="86"/>
      <c r="I38" s="86"/>
      <c r="J38" s="86"/>
      <c r="K38" s="86"/>
      <c r="L38" s="46"/>
      <c r="N38" s="96"/>
      <c r="O38" s="97"/>
      <c r="P38" s="97"/>
      <c r="Q38" s="98"/>
      <c r="S38" s="54"/>
    </row>
    <row r="39" spans="1:19" ht="30" customHeight="1" x14ac:dyDescent="0.3">
      <c r="A39" s="59"/>
      <c r="B39" s="38"/>
      <c r="C39" s="42"/>
      <c r="D39" s="43"/>
      <c r="E39" s="86"/>
      <c r="F39" s="86"/>
      <c r="G39" s="86"/>
      <c r="H39" s="86"/>
      <c r="I39" s="86"/>
      <c r="J39" s="86"/>
      <c r="K39" s="86"/>
      <c r="L39" s="46"/>
      <c r="N39" s="96"/>
      <c r="O39" s="97"/>
      <c r="P39" s="97"/>
      <c r="Q39" s="98"/>
      <c r="S39" s="54"/>
    </row>
    <row r="40" spans="1:19" ht="30" customHeight="1" thickBot="1" x14ac:dyDescent="0.35">
      <c r="A40" s="59"/>
      <c r="B40" s="38"/>
      <c r="C40" s="47"/>
      <c r="D40" s="48"/>
      <c r="E40" s="87"/>
      <c r="F40" s="87"/>
      <c r="G40" s="87"/>
      <c r="H40" s="87"/>
      <c r="I40" s="87"/>
      <c r="J40" s="87"/>
      <c r="K40" s="87"/>
      <c r="L40" s="49"/>
      <c r="N40" s="96"/>
      <c r="O40" s="97"/>
      <c r="P40" s="97"/>
      <c r="Q40" s="98"/>
      <c r="S40" s="54"/>
    </row>
    <row r="41" spans="1:19" ht="30" customHeight="1" thickTop="1" x14ac:dyDescent="0.3">
      <c r="A41" s="59"/>
      <c r="B41" s="38"/>
      <c r="C41" s="38"/>
      <c r="D41" s="63"/>
      <c r="E41" s="63"/>
      <c r="F41" s="63"/>
      <c r="G41" s="63"/>
      <c r="H41" s="63"/>
      <c r="I41" s="63"/>
      <c r="J41" s="63"/>
      <c r="K41" s="63"/>
      <c r="L41" s="63"/>
      <c r="N41" s="64"/>
      <c r="O41" s="64"/>
      <c r="P41" s="62"/>
      <c r="Q41" s="65"/>
      <c r="S41" s="54"/>
    </row>
    <row r="42" spans="1:19" ht="30" customHeight="1" thickBot="1" x14ac:dyDescent="0.45">
      <c r="A42" s="59"/>
      <c r="B42" s="38"/>
      <c r="C42" s="38"/>
      <c r="D42" s="84"/>
      <c r="E42" s="37"/>
      <c r="F42" s="37"/>
      <c r="G42" s="37"/>
      <c r="H42" s="37"/>
      <c r="I42" s="37"/>
      <c r="J42" s="37"/>
      <c r="K42" s="37"/>
      <c r="L42" s="48"/>
      <c r="N42" s="95" t="s">
        <v>22</v>
      </c>
      <c r="O42" s="95"/>
      <c r="P42" s="95"/>
      <c r="Q42" s="65"/>
      <c r="S42" s="54"/>
    </row>
    <row r="43" spans="1:19" ht="30" customHeight="1" thickTop="1" x14ac:dyDescent="0.3">
      <c r="A43" s="59"/>
      <c r="B43" s="38"/>
      <c r="C43" s="88" t="s">
        <v>22</v>
      </c>
      <c r="D43" s="89"/>
      <c r="E43" s="92" t="str">
        <f ca="1">TEXT(E7, "ddd dd/mm")</f>
        <v>Mon 10/08</v>
      </c>
      <c r="F43" s="92" t="str">
        <f t="shared" ref="F43:K43" ca="1" si="2">TEXT(F7, "ddd dd/mm")</f>
        <v>Tue 11/08</v>
      </c>
      <c r="G43" s="92" t="str">
        <f t="shared" ca="1" si="2"/>
        <v>Wed 12/08</v>
      </c>
      <c r="H43" s="92" t="str">
        <f t="shared" ca="1" si="2"/>
        <v>Thu 13/08</v>
      </c>
      <c r="I43" s="92" t="str">
        <f t="shared" ca="1" si="2"/>
        <v>Fri 14/08</v>
      </c>
      <c r="J43" s="92" t="str">
        <f t="shared" ca="1" si="2"/>
        <v>Sat 15/08</v>
      </c>
      <c r="K43" s="92" t="str">
        <f t="shared" ca="1" si="2"/>
        <v>Sun 16/08</v>
      </c>
      <c r="L43" s="39"/>
      <c r="N43" s="96"/>
      <c r="O43" s="97"/>
      <c r="P43" s="97"/>
      <c r="Q43" s="98"/>
      <c r="S43" s="54"/>
    </row>
    <row r="44" spans="1:19" ht="30" customHeight="1" x14ac:dyDescent="0.3">
      <c r="A44" s="59"/>
      <c r="B44" s="38"/>
      <c r="C44" s="90"/>
      <c r="D44" s="91"/>
      <c r="E44" s="93"/>
      <c r="F44" s="93"/>
      <c r="G44" s="93"/>
      <c r="H44" s="93"/>
      <c r="I44" s="93"/>
      <c r="J44" s="93"/>
      <c r="K44" s="93"/>
      <c r="L44" s="41"/>
      <c r="N44" s="96"/>
      <c r="O44" s="97"/>
      <c r="P44" s="97"/>
      <c r="Q44" s="98"/>
      <c r="S44" s="54"/>
    </row>
    <row r="45" spans="1:19" ht="30" customHeight="1" x14ac:dyDescent="0.3">
      <c r="A45" s="59"/>
      <c r="B45" s="38"/>
      <c r="C45" s="42"/>
      <c r="D45" s="43"/>
      <c r="E45" s="86"/>
      <c r="F45" s="86"/>
      <c r="G45" s="86"/>
      <c r="H45" s="86"/>
      <c r="I45" s="86"/>
      <c r="J45" s="86"/>
      <c r="K45" s="86"/>
      <c r="L45" s="66"/>
      <c r="N45" s="96"/>
      <c r="O45" s="97"/>
      <c r="P45" s="97"/>
      <c r="Q45" s="98"/>
      <c r="S45" s="54"/>
    </row>
    <row r="46" spans="1:19" ht="30" customHeight="1" x14ac:dyDescent="0.3">
      <c r="A46" s="59"/>
      <c r="B46" s="38"/>
      <c r="C46" s="42"/>
      <c r="D46" s="43"/>
      <c r="E46" s="86"/>
      <c r="F46" s="86"/>
      <c r="G46" s="86"/>
      <c r="H46" s="86"/>
      <c r="I46" s="86"/>
      <c r="J46" s="86"/>
      <c r="K46" s="86"/>
      <c r="L46" s="44"/>
      <c r="N46" s="96"/>
      <c r="O46" s="97"/>
      <c r="P46" s="97"/>
      <c r="Q46" s="98"/>
      <c r="S46" s="54"/>
    </row>
    <row r="47" spans="1:19" ht="30" customHeight="1" x14ac:dyDescent="0.3">
      <c r="A47" s="59"/>
      <c r="B47" s="38"/>
      <c r="C47" s="42"/>
      <c r="D47" s="43"/>
      <c r="E47" s="86"/>
      <c r="F47" s="86"/>
      <c r="G47" s="86"/>
      <c r="H47" s="86"/>
      <c r="I47" s="86"/>
      <c r="J47" s="86"/>
      <c r="K47" s="86"/>
      <c r="L47" s="45"/>
      <c r="N47" s="96"/>
      <c r="O47" s="97"/>
      <c r="P47" s="97"/>
      <c r="Q47" s="98"/>
      <c r="S47" s="54"/>
    </row>
    <row r="48" spans="1:19" ht="30" customHeight="1" x14ac:dyDescent="0.3">
      <c r="A48" s="59"/>
      <c r="B48" s="38"/>
      <c r="C48" s="42"/>
      <c r="D48" s="43"/>
      <c r="E48" s="86"/>
      <c r="F48" s="86"/>
      <c r="G48" s="86"/>
      <c r="H48" s="86"/>
      <c r="I48" s="86"/>
      <c r="J48" s="86"/>
      <c r="K48" s="86"/>
      <c r="L48" s="44"/>
      <c r="N48" s="96"/>
      <c r="O48" s="97"/>
      <c r="P48" s="97"/>
      <c r="Q48" s="98"/>
      <c r="S48" s="54"/>
    </row>
    <row r="49" spans="1:19" ht="30" customHeight="1" x14ac:dyDescent="0.3">
      <c r="A49" s="59"/>
      <c r="B49" s="38"/>
      <c r="C49" s="42"/>
      <c r="D49" s="43"/>
      <c r="E49" s="86"/>
      <c r="F49" s="86"/>
      <c r="G49" s="86"/>
      <c r="H49" s="86"/>
      <c r="I49" s="86"/>
      <c r="J49" s="86"/>
      <c r="K49" s="86"/>
      <c r="L49" s="45"/>
      <c r="N49" s="96"/>
      <c r="O49" s="97"/>
      <c r="P49" s="97"/>
      <c r="Q49" s="98"/>
      <c r="S49" s="54"/>
    </row>
    <row r="50" spans="1:19" ht="30" customHeight="1" x14ac:dyDescent="0.3">
      <c r="A50" s="59"/>
      <c r="B50" s="38"/>
      <c r="C50" s="42"/>
      <c r="D50" s="43"/>
      <c r="E50" s="86"/>
      <c r="F50" s="86"/>
      <c r="G50" s="86"/>
      <c r="H50" s="86"/>
      <c r="I50" s="86"/>
      <c r="J50" s="86"/>
      <c r="K50" s="86"/>
      <c r="L50" s="44"/>
      <c r="N50" s="96"/>
      <c r="O50" s="97"/>
      <c r="P50" s="97"/>
      <c r="Q50" s="98"/>
      <c r="S50" s="54"/>
    </row>
    <row r="51" spans="1:19" ht="30" customHeight="1" x14ac:dyDescent="0.3">
      <c r="A51" s="59"/>
      <c r="B51" s="38"/>
      <c r="C51" s="42"/>
      <c r="D51" s="43"/>
      <c r="E51" s="86"/>
      <c r="F51" s="86"/>
      <c r="G51" s="86"/>
      <c r="H51" s="86"/>
      <c r="I51" s="86"/>
      <c r="J51" s="86"/>
      <c r="K51" s="86"/>
      <c r="L51" s="45"/>
      <c r="N51" s="96"/>
      <c r="O51" s="97"/>
      <c r="P51" s="97"/>
      <c r="Q51" s="98"/>
      <c r="S51" s="54"/>
    </row>
    <row r="52" spans="1:19" ht="30" customHeight="1" x14ac:dyDescent="0.3">
      <c r="A52" s="59"/>
      <c r="B52" s="38"/>
      <c r="C52" s="42"/>
      <c r="D52" s="43"/>
      <c r="E52" s="86"/>
      <c r="F52" s="86"/>
      <c r="G52" s="86"/>
      <c r="H52" s="86"/>
      <c r="I52" s="86"/>
      <c r="J52" s="86"/>
      <c r="K52" s="86"/>
      <c r="L52" s="46"/>
      <c r="N52" s="96"/>
      <c r="O52" s="97"/>
      <c r="P52" s="97"/>
      <c r="Q52" s="98"/>
      <c r="S52" s="54"/>
    </row>
    <row r="53" spans="1:19" ht="30" customHeight="1" x14ac:dyDescent="0.3">
      <c r="A53" s="59"/>
      <c r="B53" s="38"/>
      <c r="C53" s="42"/>
      <c r="D53" s="43"/>
      <c r="E53" s="86"/>
      <c r="F53" s="86"/>
      <c r="G53" s="86"/>
      <c r="H53" s="86"/>
      <c r="I53" s="86"/>
      <c r="J53" s="86"/>
      <c r="K53" s="86"/>
      <c r="L53" s="46"/>
      <c r="N53" s="96"/>
      <c r="O53" s="97"/>
      <c r="P53" s="97"/>
      <c r="Q53" s="98"/>
      <c r="S53" s="54"/>
    </row>
    <row r="54" spans="1:19" ht="30" customHeight="1" thickBot="1" x14ac:dyDescent="0.35">
      <c r="A54" s="59"/>
      <c r="B54" s="38"/>
      <c r="C54" s="47"/>
      <c r="D54" s="48"/>
      <c r="E54" s="87"/>
      <c r="F54" s="87"/>
      <c r="G54" s="87"/>
      <c r="H54" s="87"/>
      <c r="I54" s="87"/>
      <c r="J54" s="87"/>
      <c r="K54" s="87"/>
      <c r="L54" s="49"/>
      <c r="N54" s="96"/>
      <c r="O54" s="97"/>
      <c r="P54" s="97"/>
      <c r="Q54" s="98"/>
      <c r="S54" s="54"/>
    </row>
    <row r="55" spans="1:19" ht="30" customHeight="1" thickTop="1" x14ac:dyDescent="0.3">
      <c r="A55" s="59"/>
      <c r="B55" s="38"/>
      <c r="C55" s="38"/>
      <c r="D55" s="63"/>
      <c r="E55" s="63"/>
      <c r="F55" s="63"/>
      <c r="G55" s="63"/>
      <c r="H55" s="63"/>
      <c r="I55" s="63"/>
      <c r="J55" s="63"/>
      <c r="K55" s="63"/>
      <c r="L55" s="63"/>
      <c r="N55" s="64"/>
      <c r="O55" s="64"/>
      <c r="P55" s="62"/>
      <c r="Q55" s="65"/>
      <c r="S55" s="54"/>
    </row>
    <row r="56" spans="1:19" ht="30" customHeight="1" thickBot="1" x14ac:dyDescent="0.45">
      <c r="A56" s="59"/>
      <c r="B56" s="38"/>
      <c r="C56" s="38"/>
      <c r="D56" s="84"/>
      <c r="E56" s="63"/>
      <c r="F56" s="63"/>
      <c r="G56" s="63"/>
      <c r="H56" s="63"/>
      <c r="I56" s="63"/>
      <c r="J56" s="63"/>
      <c r="K56" s="63"/>
      <c r="L56" s="63"/>
      <c r="N56" s="95" t="s">
        <v>23</v>
      </c>
      <c r="O56" s="95"/>
      <c r="P56" s="95"/>
      <c r="Q56" s="65"/>
      <c r="S56" s="54"/>
    </row>
    <row r="57" spans="1:19" ht="30" customHeight="1" thickTop="1" x14ac:dyDescent="0.3">
      <c r="A57" s="59"/>
      <c r="B57" s="38"/>
      <c r="C57" s="88" t="s">
        <v>23</v>
      </c>
      <c r="D57" s="89"/>
      <c r="E57" s="92" t="str">
        <f ca="1">TEXT(E8, "ddd dd/mm")</f>
        <v>Mon 17/08</v>
      </c>
      <c r="F57" s="92" t="str">
        <f t="shared" ref="F57:K57" ca="1" si="3">TEXT(F8, "ddd dd/mm")</f>
        <v>Tue 18/08</v>
      </c>
      <c r="G57" s="92" t="str">
        <f t="shared" ca="1" si="3"/>
        <v>Wed 19/08</v>
      </c>
      <c r="H57" s="92" t="str">
        <f t="shared" ca="1" si="3"/>
        <v>Thu 20/08</v>
      </c>
      <c r="I57" s="92" t="str">
        <f t="shared" ca="1" si="3"/>
        <v>Fri 21/08</v>
      </c>
      <c r="J57" s="92" t="str">
        <f t="shared" ca="1" si="3"/>
        <v>Sat 22/08</v>
      </c>
      <c r="K57" s="92" t="str">
        <f t="shared" ca="1" si="3"/>
        <v>Sun 23/08</v>
      </c>
      <c r="L57" s="39"/>
      <c r="N57" s="96"/>
      <c r="O57" s="97"/>
      <c r="P57" s="97"/>
      <c r="Q57" s="98"/>
      <c r="S57" s="54"/>
    </row>
    <row r="58" spans="1:19" ht="30" customHeight="1" x14ac:dyDescent="0.3">
      <c r="A58" s="59"/>
      <c r="B58" s="38"/>
      <c r="C58" s="90"/>
      <c r="D58" s="91"/>
      <c r="E58" s="93"/>
      <c r="F58" s="93"/>
      <c r="G58" s="93"/>
      <c r="H58" s="93"/>
      <c r="I58" s="93"/>
      <c r="J58" s="93"/>
      <c r="K58" s="93"/>
      <c r="L58" s="41"/>
      <c r="N58" s="96"/>
      <c r="O58" s="97"/>
      <c r="P58" s="97"/>
      <c r="Q58" s="98"/>
      <c r="S58" s="54"/>
    </row>
    <row r="59" spans="1:19" ht="30" customHeight="1" x14ac:dyDescent="0.3">
      <c r="A59" s="59"/>
      <c r="B59" s="38"/>
      <c r="C59" s="42"/>
      <c r="D59" s="43"/>
      <c r="E59" s="86"/>
      <c r="F59" s="86"/>
      <c r="G59" s="86"/>
      <c r="H59" s="86"/>
      <c r="I59" s="86"/>
      <c r="J59" s="86"/>
      <c r="K59" s="86"/>
      <c r="L59" s="66"/>
      <c r="N59" s="96"/>
      <c r="O59" s="97"/>
      <c r="P59" s="97"/>
      <c r="Q59" s="98"/>
      <c r="S59" s="54"/>
    </row>
    <row r="60" spans="1:19" ht="30" customHeight="1" x14ac:dyDescent="0.3">
      <c r="A60" s="59"/>
      <c r="B60" s="38"/>
      <c r="C60" s="42"/>
      <c r="D60" s="43"/>
      <c r="E60" s="86"/>
      <c r="F60" s="86"/>
      <c r="G60" s="86"/>
      <c r="H60" s="86"/>
      <c r="I60" s="86"/>
      <c r="J60" s="86"/>
      <c r="K60" s="86"/>
      <c r="L60" s="44"/>
      <c r="N60" s="96"/>
      <c r="O60" s="97"/>
      <c r="P60" s="97"/>
      <c r="Q60" s="98"/>
      <c r="S60" s="54"/>
    </row>
    <row r="61" spans="1:19" ht="30" customHeight="1" x14ac:dyDescent="0.3">
      <c r="A61" s="59"/>
      <c r="B61" s="38"/>
      <c r="C61" s="42"/>
      <c r="D61" s="43"/>
      <c r="E61" s="86"/>
      <c r="F61" s="86"/>
      <c r="G61" s="86"/>
      <c r="H61" s="86"/>
      <c r="I61" s="86"/>
      <c r="J61" s="86"/>
      <c r="K61" s="86"/>
      <c r="L61" s="45"/>
      <c r="N61" s="96"/>
      <c r="O61" s="97"/>
      <c r="P61" s="97"/>
      <c r="Q61" s="98"/>
      <c r="S61" s="54"/>
    </row>
    <row r="62" spans="1:19" ht="30" customHeight="1" x14ac:dyDescent="0.3">
      <c r="A62" s="59"/>
      <c r="B62" s="38"/>
      <c r="C62" s="42"/>
      <c r="D62" s="43"/>
      <c r="E62" s="86"/>
      <c r="F62" s="86"/>
      <c r="G62" s="86"/>
      <c r="H62" s="86"/>
      <c r="I62" s="86"/>
      <c r="J62" s="86"/>
      <c r="K62" s="86"/>
      <c r="L62" s="44"/>
      <c r="N62" s="96"/>
      <c r="O62" s="97"/>
      <c r="P62" s="97"/>
      <c r="Q62" s="98"/>
      <c r="S62" s="54"/>
    </row>
    <row r="63" spans="1:19" ht="30" customHeight="1" x14ac:dyDescent="0.3">
      <c r="A63" s="59"/>
      <c r="B63" s="38"/>
      <c r="C63" s="42"/>
      <c r="D63" s="43"/>
      <c r="E63" s="86"/>
      <c r="F63" s="86"/>
      <c r="G63" s="86"/>
      <c r="H63" s="86"/>
      <c r="I63" s="86"/>
      <c r="J63" s="86"/>
      <c r="K63" s="86"/>
      <c r="L63" s="45"/>
      <c r="N63" s="96"/>
      <c r="O63" s="97"/>
      <c r="P63" s="97"/>
      <c r="Q63" s="98"/>
      <c r="S63" s="54"/>
    </row>
    <row r="64" spans="1:19" ht="30" customHeight="1" x14ac:dyDescent="0.3">
      <c r="A64" s="59"/>
      <c r="B64" s="38"/>
      <c r="C64" s="42"/>
      <c r="D64" s="43"/>
      <c r="E64" s="86"/>
      <c r="F64" s="86"/>
      <c r="G64" s="86"/>
      <c r="H64" s="86"/>
      <c r="I64" s="86"/>
      <c r="J64" s="86"/>
      <c r="K64" s="86"/>
      <c r="L64" s="44"/>
      <c r="N64" s="96"/>
      <c r="O64" s="97"/>
      <c r="P64" s="97"/>
      <c r="Q64" s="98"/>
      <c r="S64" s="54"/>
    </row>
    <row r="65" spans="1:21" ht="30" customHeight="1" x14ac:dyDescent="0.3">
      <c r="A65" s="59"/>
      <c r="B65" s="38"/>
      <c r="C65" s="42"/>
      <c r="D65" s="43"/>
      <c r="E65" s="86"/>
      <c r="F65" s="86"/>
      <c r="G65" s="86"/>
      <c r="H65" s="86"/>
      <c r="I65" s="86"/>
      <c r="J65" s="86"/>
      <c r="K65" s="86"/>
      <c r="L65" s="45"/>
      <c r="N65" s="96"/>
      <c r="O65" s="97"/>
      <c r="P65" s="97"/>
      <c r="Q65" s="98"/>
      <c r="S65" s="54"/>
    </row>
    <row r="66" spans="1:21" ht="30" customHeight="1" x14ac:dyDescent="0.3">
      <c r="A66" s="59"/>
      <c r="B66" s="38"/>
      <c r="C66" s="42"/>
      <c r="D66" s="43"/>
      <c r="E66" s="86"/>
      <c r="F66" s="86"/>
      <c r="G66" s="86"/>
      <c r="H66" s="86"/>
      <c r="I66" s="86"/>
      <c r="J66" s="86"/>
      <c r="K66" s="86"/>
      <c r="L66" s="46"/>
      <c r="N66" s="96"/>
      <c r="O66" s="97"/>
      <c r="P66" s="97"/>
      <c r="Q66" s="98"/>
      <c r="S66" s="54"/>
    </row>
    <row r="67" spans="1:21" ht="30" customHeight="1" x14ac:dyDescent="0.3">
      <c r="A67" s="59"/>
      <c r="B67" s="38"/>
      <c r="C67" s="42"/>
      <c r="D67" s="43"/>
      <c r="E67" s="86"/>
      <c r="F67" s="86"/>
      <c r="G67" s="86"/>
      <c r="H67" s="86"/>
      <c r="I67" s="86"/>
      <c r="J67" s="86"/>
      <c r="K67" s="86"/>
      <c r="L67" s="46"/>
      <c r="N67" s="96"/>
      <c r="O67" s="97"/>
      <c r="P67" s="97"/>
      <c r="Q67" s="98"/>
      <c r="S67" s="54"/>
    </row>
    <row r="68" spans="1:21" ht="30" customHeight="1" thickBot="1" x14ac:dyDescent="0.35">
      <c r="A68" s="59"/>
      <c r="B68" s="38"/>
      <c r="C68" s="47"/>
      <c r="D68" s="48"/>
      <c r="E68" s="87"/>
      <c r="F68" s="87"/>
      <c r="G68" s="87"/>
      <c r="H68" s="87"/>
      <c r="I68" s="87"/>
      <c r="J68" s="87"/>
      <c r="K68" s="87"/>
      <c r="L68" s="49"/>
      <c r="N68" s="96"/>
      <c r="O68" s="97"/>
      <c r="P68" s="97"/>
      <c r="Q68" s="98"/>
      <c r="S68" s="54"/>
    </row>
    <row r="69" spans="1:21" ht="30" customHeight="1" thickTop="1" x14ac:dyDescent="0.3">
      <c r="A69" s="59"/>
      <c r="B69" s="38"/>
      <c r="C69" s="38"/>
      <c r="D69" s="63"/>
      <c r="E69" s="63"/>
      <c r="F69" s="63"/>
      <c r="G69" s="63"/>
      <c r="H69" s="63"/>
      <c r="I69" s="63"/>
      <c r="J69" s="63"/>
      <c r="K69" s="63"/>
      <c r="L69" s="63"/>
      <c r="N69" s="64"/>
      <c r="O69" s="64"/>
      <c r="P69" s="62"/>
      <c r="Q69" s="65"/>
      <c r="S69" s="54"/>
    </row>
    <row r="70" spans="1:21" ht="30" customHeight="1" thickBot="1" x14ac:dyDescent="0.45">
      <c r="A70" s="59"/>
      <c r="B70" s="38"/>
      <c r="C70" s="38"/>
      <c r="D70" s="84"/>
      <c r="E70" s="63"/>
      <c r="F70" s="63"/>
      <c r="G70" s="63"/>
      <c r="H70" s="63"/>
      <c r="I70" s="63"/>
      <c r="J70" s="63"/>
      <c r="K70" s="63"/>
      <c r="L70" s="63"/>
      <c r="N70" s="95" t="s">
        <v>24</v>
      </c>
      <c r="O70" s="95"/>
      <c r="P70" s="95"/>
      <c r="Q70" s="65"/>
      <c r="S70" s="54"/>
    </row>
    <row r="71" spans="1:21" ht="30" customHeight="1" thickTop="1" x14ac:dyDescent="0.3">
      <c r="A71" s="59"/>
      <c r="B71" s="38"/>
      <c r="C71" s="88" t="s">
        <v>24</v>
      </c>
      <c r="D71" s="89"/>
      <c r="E71" s="92" t="str">
        <f ca="1">TEXT(E9, "ddd dd/mm")</f>
        <v>Mon 24/08</v>
      </c>
      <c r="F71" s="92" t="str">
        <f t="shared" ref="F71:K71" ca="1" si="4">TEXT(F9, "ddd dd/mm")</f>
        <v>Tue 25/08</v>
      </c>
      <c r="G71" s="92" t="str">
        <f t="shared" ca="1" si="4"/>
        <v>Wed 26/08</v>
      </c>
      <c r="H71" s="92" t="str">
        <f t="shared" ca="1" si="4"/>
        <v>Thu 27/08</v>
      </c>
      <c r="I71" s="92" t="str">
        <f t="shared" ca="1" si="4"/>
        <v>Fri 28/08</v>
      </c>
      <c r="J71" s="92" t="str">
        <f t="shared" ca="1" si="4"/>
        <v>Sat 29/08</v>
      </c>
      <c r="K71" s="92" t="str">
        <f t="shared" ca="1" si="4"/>
        <v>Sun 30/08</v>
      </c>
      <c r="L71" s="39"/>
      <c r="N71" s="96"/>
      <c r="O71" s="97"/>
      <c r="P71" s="97"/>
      <c r="Q71" s="98"/>
      <c r="S71" s="54"/>
    </row>
    <row r="72" spans="1:21" ht="30" customHeight="1" x14ac:dyDescent="0.3">
      <c r="A72" s="59"/>
      <c r="B72" s="38"/>
      <c r="C72" s="90"/>
      <c r="D72" s="91"/>
      <c r="E72" s="93"/>
      <c r="F72" s="93"/>
      <c r="G72" s="93"/>
      <c r="H72" s="93"/>
      <c r="I72" s="93"/>
      <c r="J72" s="93"/>
      <c r="K72" s="93"/>
      <c r="L72" s="41"/>
      <c r="N72" s="96"/>
      <c r="O72" s="97"/>
      <c r="P72" s="97"/>
      <c r="Q72" s="98"/>
      <c r="R72" s="3"/>
      <c r="S72" s="54"/>
      <c r="T72" s="3"/>
      <c r="U72" s="3"/>
    </row>
    <row r="73" spans="1:21" ht="30" customHeight="1" x14ac:dyDescent="0.3">
      <c r="A73" s="59"/>
      <c r="B73" s="38"/>
      <c r="C73" s="42"/>
      <c r="D73" s="43"/>
      <c r="E73" s="86"/>
      <c r="F73" s="86"/>
      <c r="G73" s="86"/>
      <c r="H73" s="86"/>
      <c r="I73" s="86"/>
      <c r="J73" s="86"/>
      <c r="K73" s="86"/>
      <c r="L73" s="66"/>
      <c r="N73" s="96"/>
      <c r="O73" s="97"/>
      <c r="P73" s="97"/>
      <c r="Q73" s="98"/>
      <c r="S73" s="54"/>
    </row>
    <row r="74" spans="1:21" ht="30" customHeight="1" x14ac:dyDescent="0.3">
      <c r="A74" s="59"/>
      <c r="B74" s="38"/>
      <c r="C74" s="42"/>
      <c r="D74" s="43"/>
      <c r="E74" s="86"/>
      <c r="F74" s="86"/>
      <c r="G74" s="86"/>
      <c r="H74" s="86"/>
      <c r="I74" s="86"/>
      <c r="J74" s="86"/>
      <c r="K74" s="86"/>
      <c r="L74" s="44"/>
      <c r="N74" s="96"/>
      <c r="O74" s="97"/>
      <c r="P74" s="97"/>
      <c r="Q74" s="98"/>
      <c r="S74" s="54"/>
    </row>
    <row r="75" spans="1:21" ht="30" customHeight="1" x14ac:dyDescent="0.3">
      <c r="A75" s="59"/>
      <c r="B75" s="38"/>
      <c r="C75" s="42"/>
      <c r="D75" s="43"/>
      <c r="E75" s="86"/>
      <c r="F75" s="86"/>
      <c r="G75" s="86"/>
      <c r="H75" s="86"/>
      <c r="I75" s="86"/>
      <c r="J75" s="86"/>
      <c r="K75" s="86"/>
      <c r="L75" s="45"/>
      <c r="N75" s="96"/>
      <c r="O75" s="97"/>
      <c r="P75" s="97"/>
      <c r="Q75" s="98"/>
      <c r="S75" s="54"/>
    </row>
    <row r="76" spans="1:21" ht="30" customHeight="1" x14ac:dyDescent="0.3">
      <c r="A76" s="59"/>
      <c r="B76" s="38"/>
      <c r="C76" s="42"/>
      <c r="D76" s="43"/>
      <c r="E76" s="86"/>
      <c r="F76" s="86"/>
      <c r="G76" s="86"/>
      <c r="H76" s="86"/>
      <c r="I76" s="86"/>
      <c r="J76" s="86"/>
      <c r="K76" s="86"/>
      <c r="L76" s="44"/>
      <c r="N76" s="96"/>
      <c r="O76" s="97"/>
      <c r="P76" s="97"/>
      <c r="Q76" s="98"/>
      <c r="S76" s="54"/>
    </row>
    <row r="77" spans="1:21" ht="30" customHeight="1" x14ac:dyDescent="0.3">
      <c r="A77" s="59"/>
      <c r="B77" s="38"/>
      <c r="C77" s="42"/>
      <c r="D77" s="43"/>
      <c r="E77" s="86"/>
      <c r="F77" s="86"/>
      <c r="G77" s="86"/>
      <c r="H77" s="86"/>
      <c r="I77" s="86"/>
      <c r="J77" s="86"/>
      <c r="K77" s="86"/>
      <c r="L77" s="45"/>
      <c r="N77" s="96"/>
      <c r="O77" s="97"/>
      <c r="P77" s="97"/>
      <c r="Q77" s="98"/>
      <c r="S77" s="54"/>
    </row>
    <row r="78" spans="1:21" ht="30" customHeight="1" x14ac:dyDescent="0.3">
      <c r="A78" s="59"/>
      <c r="B78" s="38"/>
      <c r="C78" s="42"/>
      <c r="D78" s="43"/>
      <c r="E78" s="86"/>
      <c r="F78" s="86"/>
      <c r="G78" s="86"/>
      <c r="H78" s="86"/>
      <c r="I78" s="86"/>
      <c r="J78" s="86"/>
      <c r="K78" s="86"/>
      <c r="L78" s="44"/>
      <c r="N78" s="96"/>
      <c r="O78" s="97"/>
      <c r="P78" s="97"/>
      <c r="Q78" s="98"/>
      <c r="S78" s="54"/>
    </row>
    <row r="79" spans="1:21" ht="30" customHeight="1" x14ac:dyDescent="0.3">
      <c r="A79" s="59"/>
      <c r="B79" s="38"/>
      <c r="C79" s="42"/>
      <c r="D79" s="43"/>
      <c r="E79" s="86"/>
      <c r="F79" s="86"/>
      <c r="G79" s="86"/>
      <c r="H79" s="86"/>
      <c r="I79" s="86"/>
      <c r="J79" s="86"/>
      <c r="K79" s="86"/>
      <c r="L79" s="45"/>
      <c r="N79" s="96"/>
      <c r="O79" s="97"/>
      <c r="P79" s="97"/>
      <c r="Q79" s="98"/>
      <c r="S79" s="54"/>
    </row>
    <row r="80" spans="1:21" ht="30" customHeight="1" x14ac:dyDescent="0.3">
      <c r="A80" s="59"/>
      <c r="B80" s="38"/>
      <c r="C80" s="42"/>
      <c r="D80" s="43"/>
      <c r="E80" s="86"/>
      <c r="F80" s="86"/>
      <c r="G80" s="86"/>
      <c r="H80" s="86"/>
      <c r="I80" s="86"/>
      <c r="J80" s="86"/>
      <c r="K80" s="86"/>
      <c r="L80" s="46"/>
      <c r="N80" s="96"/>
      <c r="O80" s="97"/>
      <c r="P80" s="97"/>
      <c r="Q80" s="98"/>
      <c r="S80" s="54"/>
    </row>
    <row r="81" spans="1:21" ht="30" customHeight="1" x14ac:dyDescent="0.3">
      <c r="A81" s="59"/>
      <c r="B81" s="38"/>
      <c r="C81" s="42"/>
      <c r="D81" s="43"/>
      <c r="E81" s="86"/>
      <c r="F81" s="86"/>
      <c r="G81" s="86"/>
      <c r="H81" s="86"/>
      <c r="I81" s="86"/>
      <c r="J81" s="86"/>
      <c r="K81" s="86"/>
      <c r="L81" s="46"/>
      <c r="N81" s="96"/>
      <c r="O81" s="97"/>
      <c r="P81" s="97"/>
      <c r="Q81" s="98"/>
      <c r="S81" s="54"/>
    </row>
    <row r="82" spans="1:21" ht="30" customHeight="1" thickBot="1" x14ac:dyDescent="0.35">
      <c r="A82" s="59"/>
      <c r="B82" s="38"/>
      <c r="C82" s="47"/>
      <c r="D82" s="48"/>
      <c r="E82" s="87"/>
      <c r="F82" s="87"/>
      <c r="G82" s="87"/>
      <c r="H82" s="87"/>
      <c r="I82" s="87"/>
      <c r="J82" s="87"/>
      <c r="K82" s="87"/>
      <c r="L82" s="49"/>
      <c r="N82" s="96"/>
      <c r="O82" s="97"/>
      <c r="P82" s="97"/>
      <c r="Q82" s="98"/>
      <c r="S82" s="54"/>
    </row>
    <row r="83" spans="1:21" ht="30" customHeight="1" thickTop="1" x14ac:dyDescent="0.3">
      <c r="A83" s="59"/>
      <c r="B83" s="38"/>
      <c r="C83" s="38"/>
      <c r="D83" s="63"/>
      <c r="E83" s="63"/>
      <c r="F83" s="63"/>
      <c r="G83" s="63"/>
      <c r="H83" s="63"/>
      <c r="I83" s="63"/>
      <c r="J83" s="63"/>
      <c r="K83" s="63"/>
      <c r="L83" s="63"/>
      <c r="N83" s="77"/>
      <c r="O83" s="62"/>
      <c r="P83" s="62"/>
      <c r="Q83" s="78"/>
      <c r="S83" s="54"/>
    </row>
    <row r="84" spans="1:21" ht="30" customHeight="1" thickBot="1" x14ac:dyDescent="0.45">
      <c r="A84" s="59"/>
      <c r="B84" s="38"/>
      <c r="C84" s="38"/>
      <c r="D84" s="84"/>
      <c r="E84" s="63"/>
      <c r="F84" s="63"/>
      <c r="G84" s="63"/>
      <c r="H84" s="63"/>
      <c r="I84" s="63"/>
      <c r="J84" s="63"/>
      <c r="K84" s="63"/>
      <c r="L84" s="63"/>
      <c r="N84" s="95" t="s">
        <v>25</v>
      </c>
      <c r="O84" s="95"/>
      <c r="P84" s="95"/>
      <c r="Q84" s="65"/>
      <c r="S84" s="54"/>
    </row>
    <row r="85" spans="1:21" ht="30" customHeight="1" thickTop="1" x14ac:dyDescent="0.3">
      <c r="A85" s="59"/>
      <c r="B85" s="38"/>
      <c r="C85" s="88" t="s">
        <v>25</v>
      </c>
      <c r="D85" s="89"/>
      <c r="E85" s="92" t="str">
        <f ca="1">TEXT(E10, "ddd dd/mm")</f>
        <v>Mon 31/08</v>
      </c>
      <c r="F85" s="92"/>
      <c r="G85" s="92"/>
      <c r="H85" s="92"/>
      <c r="I85" s="92"/>
      <c r="J85" s="92"/>
      <c r="K85" s="92"/>
      <c r="L85" s="39"/>
      <c r="N85" s="96"/>
      <c r="O85" s="97"/>
      <c r="P85" s="97"/>
      <c r="Q85" s="98"/>
      <c r="S85" s="54"/>
    </row>
    <row r="86" spans="1:21" ht="30" customHeight="1" x14ac:dyDescent="0.3">
      <c r="A86" s="59"/>
      <c r="B86" s="38"/>
      <c r="C86" s="90"/>
      <c r="D86" s="91"/>
      <c r="E86" s="93"/>
      <c r="F86" s="93"/>
      <c r="G86" s="93"/>
      <c r="H86" s="93"/>
      <c r="I86" s="93"/>
      <c r="J86" s="93"/>
      <c r="K86" s="93"/>
      <c r="L86" s="41"/>
      <c r="N86" s="96"/>
      <c r="O86" s="97"/>
      <c r="P86" s="97"/>
      <c r="Q86" s="98"/>
      <c r="R86" s="3"/>
      <c r="S86" s="54"/>
      <c r="T86" s="3"/>
      <c r="U86" s="3"/>
    </row>
    <row r="87" spans="1:21" ht="30" customHeight="1" x14ac:dyDescent="0.3">
      <c r="A87" s="59"/>
      <c r="B87" s="38"/>
      <c r="C87" s="42"/>
      <c r="D87" s="43"/>
      <c r="E87" s="86"/>
      <c r="F87" s="86"/>
      <c r="G87" s="86"/>
      <c r="H87" s="86"/>
      <c r="I87" s="86"/>
      <c r="J87" s="86"/>
      <c r="K87" s="86"/>
      <c r="L87" s="66"/>
      <c r="N87" s="96"/>
      <c r="O87" s="97"/>
      <c r="P87" s="97"/>
      <c r="Q87" s="98"/>
      <c r="S87" s="54"/>
    </row>
    <row r="88" spans="1:21" ht="30" customHeight="1" x14ac:dyDescent="0.3">
      <c r="A88" s="59"/>
      <c r="B88" s="38"/>
      <c r="C88" s="42"/>
      <c r="D88" s="43"/>
      <c r="E88" s="86"/>
      <c r="F88" s="86"/>
      <c r="G88" s="86"/>
      <c r="H88" s="86"/>
      <c r="I88" s="86"/>
      <c r="J88" s="86"/>
      <c r="K88" s="86"/>
      <c r="L88" s="44"/>
      <c r="N88" s="96"/>
      <c r="O88" s="97"/>
      <c r="P88" s="97"/>
      <c r="Q88" s="98"/>
      <c r="S88" s="54"/>
    </row>
    <row r="89" spans="1:21" ht="30" customHeight="1" x14ac:dyDescent="0.3">
      <c r="A89" s="59"/>
      <c r="B89" s="38"/>
      <c r="C89" s="42"/>
      <c r="D89" s="43"/>
      <c r="E89" s="86"/>
      <c r="F89" s="86"/>
      <c r="G89" s="86"/>
      <c r="H89" s="86"/>
      <c r="I89" s="86"/>
      <c r="J89" s="86"/>
      <c r="K89" s="86"/>
      <c r="L89" s="45"/>
      <c r="N89" s="96"/>
      <c r="O89" s="97"/>
      <c r="P89" s="97"/>
      <c r="Q89" s="98"/>
      <c r="S89" s="54"/>
    </row>
    <row r="90" spans="1:21" ht="30" customHeight="1" x14ac:dyDescent="0.3">
      <c r="A90" s="59"/>
      <c r="B90" s="38"/>
      <c r="C90" s="42"/>
      <c r="D90" s="43"/>
      <c r="E90" s="86"/>
      <c r="F90" s="86"/>
      <c r="G90" s="86"/>
      <c r="H90" s="86"/>
      <c r="I90" s="86"/>
      <c r="J90" s="86"/>
      <c r="K90" s="86"/>
      <c r="L90" s="44"/>
      <c r="N90" s="96"/>
      <c r="O90" s="97"/>
      <c r="P90" s="97"/>
      <c r="Q90" s="98"/>
      <c r="S90" s="54"/>
    </row>
    <row r="91" spans="1:21" ht="30" customHeight="1" x14ac:dyDescent="0.3">
      <c r="A91" s="59"/>
      <c r="B91" s="38"/>
      <c r="C91" s="42"/>
      <c r="D91" s="43"/>
      <c r="E91" s="86"/>
      <c r="F91" s="86"/>
      <c r="G91" s="86"/>
      <c r="H91" s="86"/>
      <c r="I91" s="86"/>
      <c r="J91" s="86"/>
      <c r="K91" s="86"/>
      <c r="L91" s="45"/>
      <c r="N91" s="96"/>
      <c r="O91" s="97"/>
      <c r="P91" s="97"/>
      <c r="Q91" s="98"/>
      <c r="S91" s="54"/>
    </row>
    <row r="92" spans="1:21" ht="30" customHeight="1" x14ac:dyDescent="0.3">
      <c r="A92" s="59"/>
      <c r="B92" s="38"/>
      <c r="C92" s="42"/>
      <c r="D92" s="43"/>
      <c r="E92" s="86"/>
      <c r="F92" s="86"/>
      <c r="G92" s="86"/>
      <c r="H92" s="86"/>
      <c r="I92" s="86"/>
      <c r="J92" s="86"/>
      <c r="K92" s="86"/>
      <c r="L92" s="44"/>
      <c r="N92" s="96"/>
      <c r="O92" s="97"/>
      <c r="P92" s="97"/>
      <c r="Q92" s="98"/>
      <c r="S92" s="54"/>
    </row>
    <row r="93" spans="1:21" ht="30" customHeight="1" x14ac:dyDescent="0.3">
      <c r="A93" s="59"/>
      <c r="B93" s="38"/>
      <c r="C93" s="42"/>
      <c r="D93" s="43"/>
      <c r="E93" s="86"/>
      <c r="F93" s="86"/>
      <c r="G93" s="86"/>
      <c r="H93" s="86"/>
      <c r="I93" s="86"/>
      <c r="J93" s="86"/>
      <c r="K93" s="86"/>
      <c r="L93" s="45"/>
      <c r="N93" s="96"/>
      <c r="O93" s="97"/>
      <c r="P93" s="97"/>
      <c r="Q93" s="98"/>
      <c r="S93" s="54"/>
    </row>
    <row r="94" spans="1:21" ht="30" customHeight="1" x14ac:dyDescent="0.3">
      <c r="A94" s="59"/>
      <c r="B94" s="38"/>
      <c r="C94" s="42"/>
      <c r="D94" s="43"/>
      <c r="E94" s="86"/>
      <c r="F94" s="86"/>
      <c r="G94" s="86"/>
      <c r="H94" s="86"/>
      <c r="I94" s="86"/>
      <c r="J94" s="86"/>
      <c r="K94" s="86"/>
      <c r="L94" s="46"/>
      <c r="N94" s="96"/>
      <c r="O94" s="97"/>
      <c r="P94" s="97"/>
      <c r="Q94" s="98"/>
      <c r="S94" s="54"/>
    </row>
    <row r="95" spans="1:21" ht="30" customHeight="1" x14ac:dyDescent="0.3">
      <c r="A95" s="59"/>
      <c r="B95" s="38"/>
      <c r="C95" s="42"/>
      <c r="D95" s="43"/>
      <c r="E95" s="86"/>
      <c r="F95" s="86"/>
      <c r="G95" s="86"/>
      <c r="H95" s="86"/>
      <c r="I95" s="86"/>
      <c r="J95" s="86"/>
      <c r="K95" s="86"/>
      <c r="L95" s="46"/>
      <c r="N95" s="96"/>
      <c r="O95" s="97"/>
      <c r="P95" s="97"/>
      <c r="Q95" s="98"/>
      <c r="S95" s="54"/>
    </row>
    <row r="96" spans="1:21" ht="30" customHeight="1" thickBot="1" x14ac:dyDescent="0.35">
      <c r="A96" s="59"/>
      <c r="B96" s="38"/>
      <c r="C96" s="47"/>
      <c r="D96" s="48"/>
      <c r="E96" s="87"/>
      <c r="F96" s="87"/>
      <c r="G96" s="87"/>
      <c r="H96" s="87"/>
      <c r="I96" s="87"/>
      <c r="J96" s="87"/>
      <c r="K96" s="87"/>
      <c r="L96" s="49"/>
      <c r="N96" s="96"/>
      <c r="O96" s="97"/>
      <c r="P96" s="97"/>
      <c r="Q96" s="98"/>
      <c r="S96" s="54"/>
    </row>
    <row r="97" spans="1:19" ht="30" customHeight="1" thickTop="1" x14ac:dyDescent="0.3">
      <c r="A97" s="59"/>
      <c r="B97" s="38"/>
      <c r="C97" s="38"/>
      <c r="D97" s="63"/>
      <c r="E97" s="63"/>
      <c r="F97" s="63"/>
      <c r="G97" s="63"/>
      <c r="H97" s="63"/>
      <c r="I97" s="63"/>
      <c r="J97" s="63"/>
      <c r="K97" s="63"/>
      <c r="L97" s="63"/>
      <c r="N97" s="64"/>
      <c r="O97" s="64"/>
      <c r="P97" s="62"/>
      <c r="Q97" s="65"/>
      <c r="S97" s="54"/>
    </row>
    <row r="98" spans="1:19" ht="30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6"/>
      <c r="O98" s="56"/>
      <c r="P98" s="54"/>
      <c r="Q98" s="57"/>
      <c r="R98" s="54"/>
      <c r="S98" s="54"/>
    </row>
  </sheetData>
  <sheetProtection sheet="1" objects="1" scenarios="1" selectLockedCells="1"/>
  <dataConsolidate/>
  <mergeCells count="127">
    <mergeCell ref="C15:D16"/>
    <mergeCell ref="C85:D86"/>
    <mergeCell ref="C71:D72"/>
    <mergeCell ref="C57:D58"/>
    <mergeCell ref="C43:D44"/>
    <mergeCell ref="C29:D30"/>
    <mergeCell ref="N92:Q92"/>
    <mergeCell ref="N93:Q93"/>
    <mergeCell ref="N94:Q94"/>
    <mergeCell ref="N73:Q73"/>
    <mergeCell ref="N74:Q74"/>
    <mergeCell ref="N75:Q75"/>
    <mergeCell ref="N76:Q76"/>
    <mergeCell ref="N77:Q77"/>
    <mergeCell ref="N66:Q66"/>
    <mergeCell ref="N67:Q67"/>
    <mergeCell ref="N68:Q68"/>
    <mergeCell ref="N71:Q71"/>
    <mergeCell ref="N72:Q72"/>
    <mergeCell ref="N61:Q61"/>
    <mergeCell ref="N62:Q62"/>
    <mergeCell ref="N63:Q63"/>
    <mergeCell ref="N64:Q64"/>
    <mergeCell ref="N65:Q65"/>
    <mergeCell ref="N95:Q95"/>
    <mergeCell ref="N96:Q96"/>
    <mergeCell ref="N87:Q87"/>
    <mergeCell ref="N88:Q88"/>
    <mergeCell ref="N89:Q89"/>
    <mergeCell ref="N90:Q90"/>
    <mergeCell ref="N91:Q91"/>
    <mergeCell ref="N78:Q78"/>
    <mergeCell ref="N79:Q79"/>
    <mergeCell ref="N80:Q80"/>
    <mergeCell ref="N81:Q81"/>
    <mergeCell ref="N82:Q82"/>
    <mergeCell ref="N84:P84"/>
    <mergeCell ref="N54:Q54"/>
    <mergeCell ref="N57:Q57"/>
    <mergeCell ref="N58:Q58"/>
    <mergeCell ref="N59:Q59"/>
    <mergeCell ref="N60:Q60"/>
    <mergeCell ref="N49:Q49"/>
    <mergeCell ref="N50:Q50"/>
    <mergeCell ref="N51:Q51"/>
    <mergeCell ref="N52:Q52"/>
    <mergeCell ref="N53:Q53"/>
    <mergeCell ref="N44:Q44"/>
    <mergeCell ref="N45:Q45"/>
    <mergeCell ref="N46:Q46"/>
    <mergeCell ref="N47:Q47"/>
    <mergeCell ref="N48:Q48"/>
    <mergeCell ref="N37:Q37"/>
    <mergeCell ref="N38:Q38"/>
    <mergeCell ref="N39:Q39"/>
    <mergeCell ref="N40:Q40"/>
    <mergeCell ref="N43:Q43"/>
    <mergeCell ref="N17:Q17"/>
    <mergeCell ref="N18:Q18"/>
    <mergeCell ref="N19:Q19"/>
    <mergeCell ref="N32:Q32"/>
    <mergeCell ref="N33:Q33"/>
    <mergeCell ref="N34:Q34"/>
    <mergeCell ref="N35:Q35"/>
    <mergeCell ref="N36:Q36"/>
    <mergeCell ref="N25:Q25"/>
    <mergeCell ref="N26:Q26"/>
    <mergeCell ref="N29:Q29"/>
    <mergeCell ref="N30:Q30"/>
    <mergeCell ref="N31:Q31"/>
    <mergeCell ref="E85:E86"/>
    <mergeCell ref="F85:F86"/>
    <mergeCell ref="G85:G86"/>
    <mergeCell ref="H85:H86"/>
    <mergeCell ref="I85:I86"/>
    <mergeCell ref="J85:J86"/>
    <mergeCell ref="K85:K86"/>
    <mergeCell ref="N85:Q85"/>
    <mergeCell ref="N86:Q86"/>
    <mergeCell ref="J43:J44"/>
    <mergeCell ref="N70:P70"/>
    <mergeCell ref="E15:E16"/>
    <mergeCell ref="F15:F16"/>
    <mergeCell ref="G15:G16"/>
    <mergeCell ref="H15:H16"/>
    <mergeCell ref="E57:E58"/>
    <mergeCell ref="F57:F58"/>
    <mergeCell ref="G57:G58"/>
    <mergeCell ref="H57:H58"/>
    <mergeCell ref="I57:I58"/>
    <mergeCell ref="J57:J58"/>
    <mergeCell ref="K57:K58"/>
    <mergeCell ref="E43:E44"/>
    <mergeCell ref="F43:F44"/>
    <mergeCell ref="G43:G44"/>
    <mergeCell ref="H43:H44"/>
    <mergeCell ref="N20:Q20"/>
    <mergeCell ref="N21:Q21"/>
    <mergeCell ref="N22:Q22"/>
    <mergeCell ref="N23:Q23"/>
    <mergeCell ref="N24:Q24"/>
    <mergeCell ref="N15:Q15"/>
    <mergeCell ref="N16:Q16"/>
    <mergeCell ref="K71:K72"/>
    <mergeCell ref="E71:E72"/>
    <mergeCell ref="F71:F72"/>
    <mergeCell ref="G71:G72"/>
    <mergeCell ref="H71:H72"/>
    <mergeCell ref="I71:I72"/>
    <mergeCell ref="J71:J72"/>
    <mergeCell ref="D5:D6"/>
    <mergeCell ref="N14:P14"/>
    <mergeCell ref="N28:P28"/>
    <mergeCell ref="N42:P42"/>
    <mergeCell ref="N56:P56"/>
    <mergeCell ref="I15:I16"/>
    <mergeCell ref="J15:J16"/>
    <mergeCell ref="K15:K16"/>
    <mergeCell ref="E29:E30"/>
    <mergeCell ref="F29:F30"/>
    <mergeCell ref="G29:G30"/>
    <mergeCell ref="H29:H30"/>
    <mergeCell ref="I29:I30"/>
    <mergeCell ref="J29:J30"/>
    <mergeCell ref="K29:K30"/>
    <mergeCell ref="K43:K44"/>
    <mergeCell ref="I43:I44"/>
  </mergeCells>
  <conditionalFormatting sqref="D17:K25">
    <cfRule type="expression" dxfId="104" priority="1">
      <formula>D17&lt;&gt;""</formula>
    </cfRule>
  </conditionalFormatting>
  <conditionalFormatting sqref="D26:K27">
    <cfRule type="expression" dxfId="103" priority="8">
      <formula>COLUMN(#REF!)&gt;2</formula>
    </cfRule>
  </conditionalFormatting>
  <conditionalFormatting sqref="D31:K39">
    <cfRule type="expression" dxfId="102" priority="2">
      <formula>D31&lt;&gt;""</formula>
    </cfRule>
  </conditionalFormatting>
  <conditionalFormatting sqref="D40:K41">
    <cfRule type="expression" dxfId="101" priority="10">
      <formula>COLUMN(#REF!)&gt;2</formula>
    </cfRule>
  </conditionalFormatting>
  <conditionalFormatting sqref="D45:K53">
    <cfRule type="expression" dxfId="100" priority="3">
      <formula>D45&lt;&gt;""</formula>
    </cfRule>
  </conditionalFormatting>
  <conditionalFormatting sqref="D54:K55">
    <cfRule type="expression" dxfId="99" priority="12">
      <formula>COLUMN(#REF!)&gt;2</formula>
    </cfRule>
  </conditionalFormatting>
  <conditionalFormatting sqref="D59:K67">
    <cfRule type="expression" dxfId="98" priority="4">
      <formula>D59&lt;&gt;""</formula>
    </cfRule>
  </conditionalFormatting>
  <conditionalFormatting sqref="D68:K69">
    <cfRule type="expression" dxfId="97" priority="14">
      <formula>COLUMN(#REF!)&gt;2</formula>
    </cfRule>
  </conditionalFormatting>
  <conditionalFormatting sqref="D73:K81">
    <cfRule type="expression" dxfId="96" priority="5">
      <formula>D73&lt;&gt;""</formula>
    </cfRule>
  </conditionalFormatting>
  <conditionalFormatting sqref="D82:K83">
    <cfRule type="expression" dxfId="95" priority="16">
      <formula>COLUMN(#REF!)&gt;2</formula>
    </cfRule>
  </conditionalFormatting>
  <conditionalFormatting sqref="D87:K95">
    <cfRule type="expression" dxfId="94" priority="6">
      <formula>D87&lt;&gt;""</formula>
    </cfRule>
  </conditionalFormatting>
  <conditionalFormatting sqref="D96:K97">
    <cfRule type="expression" dxfId="93" priority="18">
      <formula>COLUMN(#REF!)&gt;2</formula>
    </cfRule>
  </conditionalFormatting>
  <conditionalFormatting sqref="E5:J5">
    <cfRule type="expression" dxfId="92" priority="26" stopIfTrue="1">
      <formula>DAY(E5)&gt;8</formula>
    </cfRule>
  </conditionalFormatting>
  <conditionalFormatting sqref="E4:K10">
    <cfRule type="timePeriod" dxfId="91" priority="24" timePeriod="thisWeek">
      <formula>AND(TODAY()-ROUNDDOWN(E4,0)&lt;=WEEKDAY(TODAY())-1,ROUNDDOWN(E4,0)-TODAY()&lt;=7-WEEKDAY(TODAY()))</formula>
    </cfRule>
  </conditionalFormatting>
  <conditionalFormatting sqref="E5:K10">
    <cfRule type="expression" dxfId="90" priority="27">
      <formula>VLOOKUP(DAY(E5),$O:$O,1,FALSE)=DAY(E5)</formula>
    </cfRule>
  </conditionalFormatting>
  <conditionalFormatting sqref="E9:K10">
    <cfRule type="expression" dxfId="89" priority="25" stopIfTrue="1">
      <formula>AND(DAY(E9)&gt;=1,DAY(E9)&lt;=15)</formula>
    </cfRule>
  </conditionalFormatting>
  <conditionalFormatting sqref="E56:K56 E70:K70">
    <cfRule type="expression" dxfId="88" priority="48">
      <formula>COLUMN(#REF!)&gt;2</formula>
    </cfRule>
  </conditionalFormatting>
  <conditionalFormatting sqref="E84:K84">
    <cfRule type="expression" dxfId="87" priority="22">
      <formula>COLUMN(#REF!)&gt;2</formula>
    </cfRule>
  </conditionalFormatting>
  <conditionalFormatting sqref="M6:M11">
    <cfRule type="expression" dxfId="86" priority="47">
      <formula>VLOOKUP(DAY(M6),AssignmentDays,1,FALSE)=DAY(M6)</formula>
    </cfRule>
  </conditionalFormatting>
  <conditionalFormatting sqref="M10:M11">
    <cfRule type="expression" dxfId="85" priority="46" stopIfTrue="1">
      <formula>AND(DAY(M10)&gt;=1,DAY(M10)&lt;=15)</formula>
    </cfRule>
  </conditionalFormatting>
  <conditionalFormatting sqref="R72 T72:U72">
    <cfRule type="expression" dxfId="84" priority="36" stopIfTrue="1">
      <formula>AND(DAY(R72)&gt;=1,DAY(R72)&lt;=15)</formula>
    </cfRule>
    <cfRule type="expression" dxfId="83" priority="45">
      <formula>VLOOKUP(DAY(R72),$O:$O,1,FALSE)=DAY(R72)</formula>
    </cfRule>
  </conditionalFormatting>
  <conditionalFormatting sqref="R86 T86:U86">
    <cfRule type="expression" dxfId="82" priority="19" stopIfTrue="1">
      <formula>AND(DAY(R86)&gt;=1,DAY(R86)&lt;=15)</formula>
    </cfRule>
    <cfRule type="expression" dxfId="81" priority="21">
      <formula>VLOOKUP(DAY(R86),$O:$O,1,FALSE)=DAY(R86)</formula>
    </cfRule>
  </conditionalFormatting>
  <dataValidations count="10">
    <dataValidation allowBlank="1" showInputMessage="1" showErrorMessage="1" prompt="If this row contains a number less than the previous number or row of numbers, then this row contains dates for the next calendar month" sqref="E10" xr:uid="{9AEF9163-5A97-4B95-BDA1-AB6395F082D4}"/>
    <dataValidation allowBlank="1" showInputMessage="1" showErrorMessage="1" prompt="Weekdays are in this row, from Monday to Friday" sqref="C85 C71 C43 C29 C57 E29:K29 E15:K15 C15" xr:uid="{B8FC0E12-AB42-40AA-90E8-00D4FDE1CF5B}"/>
    <dataValidation allowBlank="1" showInputMessage="1" showErrorMessage="1" prompt="Day of the week goes in this row, starting in cell D16" sqref="A29 A15" xr:uid="{19341DA5-CB0D-4968-8684-4A8116ACE093}"/>
    <dataValidation allowBlank="1" showInputMessage="1" showErrorMessage="1" prompt="Calendar year is automatically updated in this cell. To change the calendar year, to go cell D5 in Jan worksheet." sqref="D5:D6" xr:uid="{C6F9C846-8FD8-4B37-9872-3E57FA52DB8A}"/>
    <dataValidation allowBlank="1" showInputMessage="1" showErrorMessage="1" prompt="Calendar automatically highlights assignment list entries for the month. Darker fonts are assignments. Lighter fonts are days that belong to the previous or next month" sqref="D4" xr:uid="{B528702E-AD89-49DB-A713-490C126203EC}"/>
    <dataValidation allowBlank="1" showInputMessage="1" showErrorMessage="1" prompt="Enter the assignment details in this column that correspond to the weekday in column N and day in column O for the calendar month at left" sqref="N4" xr:uid="{C8DD1688-B882-4CB0-A698-D2FF79F386E9}"/>
    <dataValidation allowBlank="1" showInputMessage="1" showErrorMessage="1" prompt="If this cell doesn’t contain the number 1, then it is a day from a previous month. Cells E5:K10 contain dates for the current month" sqref="E5" xr:uid="{27B64F20-210D-4055-AE75-EC85A71392C1}"/>
    <dataValidation allowBlank="1" showInputMessage="1" showErrorMessage="1" prompt="Cells E4:K4 contain weekdays" sqref="E4" xr:uid="{4A12F52C-22D7-4D97-9BCE-99DD76F889D7}"/>
    <dataValidation allowBlank="1" showInputMessage="1" showErrorMessage="1" prompt="March calendar. Calendar year is automatically updated based on cell D5 in Jan sheet." sqref="A1" xr:uid="{19D7C42B-5C7B-403A-89EF-597A45C64F86}"/>
    <dataValidation allowBlank="1" showInputMessage="1" showErrorMessage="1" prompt="Enter the time of your class and under it, in a new row, the class name for each weekday in columns D to K. Repeat this pattern for all classes in subsequent rows" sqref="D13" xr:uid="{2B6290C8-0AC6-4CF3-B107-EFEC49B63256}"/>
  </dataValidations>
  <printOptions horizontalCentered="1" verticalCentered="1"/>
  <pageMargins left="0.25" right="0.25" top="0.5" bottom="0.5" header="0.3" footer="0.3"/>
  <pageSetup scale="18" orientation="landscape" r:id="rId1"/>
  <rowBreaks count="1" manualBreakCount="1">
    <brk id="1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B215-5A97-4248-AD04-68D96E274D10}">
  <sheetPr>
    <tabColor theme="6" tint="0.39997558519241921"/>
    <pageSetUpPr fitToPage="1"/>
  </sheetPr>
  <dimension ref="A1:U84"/>
  <sheetViews>
    <sheetView showGridLines="0" topLeftCell="A10" zoomScale="59" zoomScaleNormal="100" zoomScalePageLayoutView="84" workbookViewId="0">
      <selection activeCell="N15" sqref="N15:Q15"/>
    </sheetView>
  </sheetViews>
  <sheetFormatPr defaultColWidth="8.59765625" defaultRowHeight="30" customHeight="1" x14ac:dyDescent="0.25"/>
  <cols>
    <col min="1" max="2" width="5.59765625" customWidth="1"/>
    <col min="3" max="3" width="2.59765625" customWidth="1"/>
    <col min="4" max="4" width="19.5" customWidth="1"/>
    <col min="5" max="11" width="24.59765625" customWidth="1"/>
    <col min="12" max="12" width="2.59765625" customWidth="1"/>
    <col min="13" max="13" width="5.59765625" style="11" customWidth="1"/>
    <col min="14" max="14" width="12.59765625" style="50" customWidth="1"/>
    <col min="15" max="15" width="5.59765625" style="50" customWidth="1"/>
    <col min="16" max="16" width="2.59765625" customWidth="1"/>
    <col min="17" max="17" width="70.59765625" style="12" customWidth="1"/>
    <col min="18" max="19" width="5.59765625" customWidth="1"/>
  </cols>
  <sheetData>
    <row r="1" spans="1:19" ht="30" customHeight="1" x14ac:dyDescent="0.25">
      <c r="A1" s="54"/>
      <c r="B1" s="54"/>
      <c r="C1" s="54"/>
      <c r="D1" s="55"/>
      <c r="E1" s="54"/>
      <c r="F1" s="54"/>
      <c r="G1" s="54"/>
      <c r="H1" s="54"/>
      <c r="I1" s="54"/>
      <c r="J1" s="54"/>
      <c r="K1" s="54"/>
      <c r="L1" s="54"/>
      <c r="M1" s="60"/>
      <c r="N1" s="56"/>
      <c r="O1" s="56"/>
      <c r="P1" s="54"/>
      <c r="Q1" s="57"/>
      <c r="R1" s="54"/>
      <c r="S1" s="54"/>
    </row>
    <row r="2" spans="1:19" ht="30" customHeight="1" thickBot="1" x14ac:dyDescent="0.3">
      <c r="A2" s="54"/>
      <c r="D2" s="10"/>
      <c r="E2" s="10"/>
      <c r="F2" s="10"/>
      <c r="G2" s="10"/>
      <c r="H2" s="10"/>
      <c r="I2" s="10"/>
      <c r="J2" s="10"/>
      <c r="K2" s="10"/>
      <c r="N2"/>
      <c r="O2"/>
      <c r="S2" s="54"/>
    </row>
    <row r="3" spans="1:19" ht="30" customHeight="1" thickTop="1" x14ac:dyDescent="0.3">
      <c r="A3" s="54"/>
      <c r="C3" s="14"/>
      <c r="D3" s="15"/>
      <c r="E3" s="15"/>
      <c r="F3" s="15"/>
      <c r="G3" s="15"/>
      <c r="H3" s="15"/>
      <c r="I3" s="15"/>
      <c r="J3" s="15"/>
      <c r="K3" s="15"/>
      <c r="L3" s="16"/>
      <c r="N3" s="68"/>
      <c r="O3" s="64"/>
      <c r="P3" s="69"/>
      <c r="Q3" s="70"/>
      <c r="S3" s="54"/>
    </row>
    <row r="4" spans="1:19" ht="35.1" customHeight="1" x14ac:dyDescent="0.25">
      <c r="A4" s="54"/>
      <c r="C4" s="17"/>
      <c r="D4" s="1" t="s">
        <v>16</v>
      </c>
      <c r="E4" s="18" t="s">
        <v>1</v>
      </c>
      <c r="F4" s="18" t="s">
        <v>2</v>
      </c>
      <c r="G4" s="18" t="s">
        <v>3</v>
      </c>
      <c r="H4" s="18" t="s">
        <v>4</v>
      </c>
      <c r="I4" s="18" t="s">
        <v>5</v>
      </c>
      <c r="J4" s="18" t="s">
        <v>6</v>
      </c>
      <c r="K4" s="18" t="s">
        <v>7</v>
      </c>
      <c r="L4" s="19"/>
      <c r="N4" s="71"/>
      <c r="O4" s="69"/>
      <c r="P4" s="69"/>
      <c r="Q4" s="72"/>
      <c r="S4" s="54"/>
    </row>
    <row r="5" spans="1:19" ht="30" customHeight="1" x14ac:dyDescent="0.3">
      <c r="A5" s="58"/>
      <c r="B5" s="21"/>
      <c r="C5" s="22"/>
      <c r="D5" s="94">
        <f ca="1">CalendarYear</f>
        <v>2026</v>
      </c>
      <c r="E5" s="3">
        <f ca="1">IF(DAY(SepSun1)=1,SepSun1-6,SepSun1+1)</f>
        <v>46265</v>
      </c>
      <c r="F5" s="3">
        <f ca="1">IF(DAY(SepSun1)=1,SepSun1-5,SepSun1+2)</f>
        <v>46266</v>
      </c>
      <c r="G5" s="3">
        <f ca="1">IF(DAY(SepSun1)=1,SepSun1-4,SepSun1+3)</f>
        <v>46267</v>
      </c>
      <c r="H5" s="3">
        <f ca="1">IF(DAY(SepSun1)=1,SepSun1-3,SepSun1+4)</f>
        <v>46268</v>
      </c>
      <c r="I5" s="3">
        <f ca="1">IF(DAY(SepSun1)=1,SepSun1-2,SepSun1+5)</f>
        <v>46269</v>
      </c>
      <c r="J5" s="3">
        <f ca="1">IF(DAY(SepSun1)=1,SepSun1-1,SepSun1+6)</f>
        <v>46270</v>
      </c>
      <c r="K5" s="3">
        <f ca="1">IF(DAY(SepSun1)=1,SepSun1,SepSun1+7)</f>
        <v>46271</v>
      </c>
      <c r="L5" s="24"/>
      <c r="M5" s="25"/>
      <c r="N5" s="68"/>
      <c r="O5" s="69"/>
      <c r="P5" s="69"/>
      <c r="Q5" s="70"/>
      <c r="S5" s="54"/>
    </row>
    <row r="6" spans="1:19" ht="30" customHeight="1" x14ac:dyDescent="0.3">
      <c r="A6" s="58"/>
      <c r="B6" s="21"/>
      <c r="C6" s="22"/>
      <c r="D6" s="94"/>
      <c r="E6" s="3">
        <f ca="1">IF(DAY(SepSun1)=1,SepSun1+1,SepSun1+8)</f>
        <v>46272</v>
      </c>
      <c r="F6" s="3">
        <f ca="1">IF(DAY(SepSun1)=1,SepSun1+2,SepSun1+9)</f>
        <v>46273</v>
      </c>
      <c r="G6" s="3">
        <f ca="1">IF(DAY(SepSun1)=1,SepSun1+3,SepSun1+10)</f>
        <v>46274</v>
      </c>
      <c r="H6" s="3">
        <f ca="1">IF(DAY(SepSun1)=1,SepSun1+4,SepSun1+11)</f>
        <v>46275</v>
      </c>
      <c r="I6" s="3">
        <f ca="1">IF(DAY(SepSun1)=1,SepSun1+5,SepSun1+12)</f>
        <v>46276</v>
      </c>
      <c r="J6" s="3">
        <f ca="1">IF(DAY(SepSun1)=1,SepSun1+6,SepSun1+13)</f>
        <v>46277</v>
      </c>
      <c r="K6" s="3">
        <f ca="1">IF(DAY(SepSun1)=1,SepSun1+7,SepSun1+14)</f>
        <v>46278</v>
      </c>
      <c r="L6" s="24"/>
      <c r="M6" s="26"/>
      <c r="N6" s="73"/>
      <c r="O6" s="74"/>
      <c r="P6" s="74"/>
      <c r="Q6" s="70"/>
      <c r="S6" s="54"/>
    </row>
    <row r="7" spans="1:19" ht="30" customHeight="1" x14ac:dyDescent="0.25">
      <c r="A7" s="58"/>
      <c r="B7" s="21"/>
      <c r="C7" s="22"/>
      <c r="D7" s="27"/>
      <c r="E7" s="3">
        <f ca="1">IF(DAY(SepSun1)=1,SepSun1+8,SepSun1+15)</f>
        <v>46279</v>
      </c>
      <c r="F7" s="3">
        <f ca="1">IF(DAY(SepSun1)=1,SepSun1+9,SepSun1+16)</f>
        <v>46280</v>
      </c>
      <c r="G7" s="3">
        <f ca="1">IF(DAY(SepSun1)=1,SepSun1+10,SepSun1+17)</f>
        <v>46281</v>
      </c>
      <c r="H7" s="3">
        <f ca="1">IF(DAY(SepSun1)=1,SepSun1+11,SepSun1+18)</f>
        <v>46282</v>
      </c>
      <c r="I7" s="3">
        <f ca="1">IF(DAY(SepSun1)=1,SepSun1+12,SepSun1+19)</f>
        <v>46283</v>
      </c>
      <c r="J7" s="3">
        <f ca="1">IF(DAY(SepSun1)=1,SepSun1+13,SepSun1+20)</f>
        <v>46284</v>
      </c>
      <c r="K7" s="3">
        <f ca="1">IF(DAY(SepSun1)=1,SepSun1+14,SepSun1+21)</f>
        <v>46285</v>
      </c>
      <c r="L7" s="24"/>
      <c r="M7" s="26"/>
      <c r="N7" s="75"/>
      <c r="O7" s="76"/>
      <c r="P7" s="76"/>
      <c r="Q7" s="70"/>
      <c r="S7" s="54"/>
    </row>
    <row r="8" spans="1:19" ht="30" customHeight="1" x14ac:dyDescent="0.3">
      <c r="A8" s="58"/>
      <c r="B8" s="21"/>
      <c r="C8" s="22"/>
      <c r="D8" s="27"/>
      <c r="E8" s="3">
        <f ca="1">IF(DAY(SepSun1)=1,SepSun1+15,SepSun1+22)</f>
        <v>46286</v>
      </c>
      <c r="F8" s="3">
        <f ca="1">IF(DAY(SepSun1)=1,SepSun1+16,SepSun1+23)</f>
        <v>46287</v>
      </c>
      <c r="G8" s="3">
        <f ca="1">IF(DAY(SepSun1)=1,SepSun1+17,SepSun1+24)</f>
        <v>46288</v>
      </c>
      <c r="H8" s="3">
        <f ca="1">IF(DAY(SepSun1)=1,SepSun1+18,SepSun1+25)</f>
        <v>46289</v>
      </c>
      <c r="I8" s="3">
        <f ca="1">IF(DAY(SepSun1)=1,SepSun1+19,SepSun1+26)</f>
        <v>46290</v>
      </c>
      <c r="J8" s="3">
        <f ca="1">IF(DAY(SepSun1)=1,SepSun1+20,SepSun1+27)</f>
        <v>46291</v>
      </c>
      <c r="K8" s="3">
        <f ca="1">IF(DAY(SepSun1)=1,SepSun1+21,SepSun1+28)</f>
        <v>46292</v>
      </c>
      <c r="L8" s="24"/>
      <c r="M8" s="26"/>
      <c r="N8" s="77"/>
      <c r="O8" s="62"/>
      <c r="P8" s="62"/>
      <c r="Q8" s="70"/>
      <c r="S8" s="54"/>
    </row>
    <row r="9" spans="1:19" ht="30" customHeight="1" x14ac:dyDescent="0.3">
      <c r="A9" s="58"/>
      <c r="B9" s="21"/>
      <c r="C9" s="22"/>
      <c r="D9" s="27"/>
      <c r="E9" s="3">
        <f ca="1">IF(DAY(SepSun1)=1,SepSun1+22,SepSun1+29)</f>
        <v>46293</v>
      </c>
      <c r="F9" s="3">
        <f ca="1">IF(DAY(SepSun1)=1,SepSun1+23,SepSun1+30)</f>
        <v>46294</v>
      </c>
      <c r="G9" s="3">
        <f ca="1">IF(DAY(SepSun1)=1,SepSun1+24,SepSun1+31)</f>
        <v>46295</v>
      </c>
      <c r="H9" s="3">
        <f ca="1">IF(DAY(SepSun1)=1,SepSun1+25,SepSun1+32)</f>
        <v>46296</v>
      </c>
      <c r="I9" s="3">
        <f ca="1">IF(DAY(SepSun1)=1,SepSun1+26,SepSun1+33)</f>
        <v>46297</v>
      </c>
      <c r="J9" s="3">
        <f ca="1">IF(DAY(SepSun1)=1,SepSun1+27,SepSun1+34)</f>
        <v>46298</v>
      </c>
      <c r="K9" s="3">
        <f ca="1">IF(DAY(SepSun1)=1,SepSun1+28,SepSun1+35)</f>
        <v>46299</v>
      </c>
      <c r="L9" s="24"/>
      <c r="M9" s="26"/>
      <c r="N9" s="77"/>
      <c r="O9" s="62"/>
      <c r="P9" s="62"/>
      <c r="Q9" s="70"/>
      <c r="S9" s="54"/>
    </row>
    <row r="10" spans="1:19" ht="30" customHeight="1" x14ac:dyDescent="0.3">
      <c r="A10" s="58"/>
      <c r="B10" s="21"/>
      <c r="C10" s="22"/>
      <c r="D10" s="27"/>
      <c r="E10" s="3">
        <f ca="1">IF(DAY(SepSun1)=1,SepSun1+29,SepSun1+36)</f>
        <v>46300</v>
      </c>
      <c r="F10" s="3">
        <f ca="1">IF(DAY(SepSun1)=1,SepSun1+30,SepSun1+37)</f>
        <v>46301</v>
      </c>
      <c r="G10" s="3">
        <f ca="1">IF(DAY(SepSun1)=1,SepSun1+31,SepSun1+38)</f>
        <v>46302</v>
      </c>
      <c r="H10" s="3">
        <f ca="1">IF(DAY(SepSun1)=1,SepSun1+32,SepSun1+39)</f>
        <v>46303</v>
      </c>
      <c r="I10" s="3">
        <f ca="1">IF(DAY(SepSun1)=1,SepSun1+33,SepSun1+40)</f>
        <v>46304</v>
      </c>
      <c r="J10" s="3">
        <f ca="1">IF(DAY(SepSun1)=1,SepSun1+34,SepSun1+41)</f>
        <v>46305</v>
      </c>
      <c r="K10" s="3">
        <f ca="1">IF(DAY(SepSun1)=1,SepSun1+35,SepSun1+42)</f>
        <v>46306</v>
      </c>
      <c r="L10" s="30"/>
      <c r="M10" s="26"/>
      <c r="N10" s="77"/>
      <c r="O10" s="62"/>
      <c r="P10" s="62"/>
      <c r="Q10" s="78"/>
      <c r="S10" s="54"/>
    </row>
    <row r="11" spans="1:19" ht="30" customHeight="1" thickBot="1" x14ac:dyDescent="0.35">
      <c r="A11" s="58"/>
      <c r="B11" s="21"/>
      <c r="C11" s="31"/>
      <c r="D11" s="10"/>
      <c r="E11" s="10"/>
      <c r="F11" s="10"/>
      <c r="G11" s="10"/>
      <c r="H11" s="10"/>
      <c r="I11" s="10"/>
      <c r="J11" s="10"/>
      <c r="K11" s="10"/>
      <c r="L11" s="32"/>
      <c r="M11" s="33"/>
      <c r="N11" s="77"/>
      <c r="O11" s="62"/>
      <c r="P11" s="62"/>
      <c r="Q11" s="78"/>
      <c r="S11" s="54"/>
    </row>
    <row r="12" spans="1:19" ht="30" customHeight="1" thickTop="1" x14ac:dyDescent="0.25">
      <c r="A12" s="58"/>
      <c r="B12" s="21"/>
      <c r="C12" s="21"/>
      <c r="D12" s="34"/>
      <c r="E12" s="15"/>
      <c r="F12" s="15"/>
      <c r="G12" s="15"/>
      <c r="H12" s="15"/>
      <c r="I12" s="15"/>
      <c r="J12" s="15"/>
      <c r="K12" s="15"/>
      <c r="N12" s="75"/>
      <c r="O12" s="76"/>
      <c r="P12" s="76"/>
      <c r="Q12" s="65"/>
      <c r="S12" s="54"/>
    </row>
    <row r="13" spans="1:19" ht="30" customHeight="1" x14ac:dyDescent="0.25">
      <c r="A13" s="58"/>
      <c r="B13" s="21"/>
      <c r="C13" s="21"/>
      <c r="D13" s="2" t="s">
        <v>8</v>
      </c>
      <c r="E13" s="35"/>
      <c r="F13" s="35"/>
      <c r="G13" s="35"/>
      <c r="H13" s="35"/>
      <c r="I13" s="35"/>
      <c r="J13" s="35"/>
      <c r="K13" s="35"/>
      <c r="N13" s="75"/>
      <c r="O13" s="76"/>
      <c r="P13" s="76"/>
      <c r="Q13" s="65"/>
      <c r="S13" s="58"/>
    </row>
    <row r="14" spans="1:19" ht="30" customHeight="1" thickBot="1" x14ac:dyDescent="0.45">
      <c r="A14" s="58"/>
      <c r="B14" s="21"/>
      <c r="C14" s="21"/>
      <c r="D14" s="84"/>
      <c r="E14" s="37"/>
      <c r="F14" s="37"/>
      <c r="G14" s="37"/>
      <c r="H14" s="37"/>
      <c r="I14" s="37"/>
      <c r="J14" s="37"/>
      <c r="K14" s="37"/>
      <c r="L14" s="37"/>
      <c r="M14" s="36"/>
      <c r="N14" s="95" t="s">
        <v>20</v>
      </c>
      <c r="O14" s="95"/>
      <c r="P14" s="95"/>
      <c r="Q14" s="65"/>
      <c r="S14" s="54"/>
    </row>
    <row r="15" spans="1:19" ht="30" customHeight="1" thickTop="1" x14ac:dyDescent="0.3">
      <c r="A15" s="59"/>
      <c r="B15" s="38"/>
      <c r="C15" s="88" t="s">
        <v>20</v>
      </c>
      <c r="D15" s="89"/>
      <c r="E15" s="92"/>
      <c r="F15" s="92" t="str">
        <f t="shared" ref="F15:K15" ca="1" si="0">TEXT(F5, "ddd dd/mm")</f>
        <v>Tue 01/09</v>
      </c>
      <c r="G15" s="92" t="str">
        <f t="shared" ca="1" si="0"/>
        <v>Wed 02/09</v>
      </c>
      <c r="H15" s="92" t="str">
        <f t="shared" ca="1" si="0"/>
        <v>Thu 03/09</v>
      </c>
      <c r="I15" s="92" t="str">
        <f t="shared" ca="1" si="0"/>
        <v>Fri 04/09</v>
      </c>
      <c r="J15" s="92" t="str">
        <f t="shared" ca="1" si="0"/>
        <v>Sat 05/09</v>
      </c>
      <c r="K15" s="92" t="str">
        <f t="shared" ca="1" si="0"/>
        <v>Sun 06/09</v>
      </c>
      <c r="L15" s="39"/>
      <c r="M15" s="40"/>
      <c r="N15" s="96"/>
      <c r="O15" s="97"/>
      <c r="P15" s="97"/>
      <c r="Q15" s="98"/>
      <c r="S15" s="54"/>
    </row>
    <row r="16" spans="1:19" ht="30" customHeight="1" x14ac:dyDescent="0.3">
      <c r="A16" s="59"/>
      <c r="B16" s="38"/>
      <c r="C16" s="90"/>
      <c r="D16" s="91"/>
      <c r="E16" s="93"/>
      <c r="F16" s="93"/>
      <c r="G16" s="93"/>
      <c r="H16" s="93"/>
      <c r="I16" s="93"/>
      <c r="J16" s="93"/>
      <c r="K16" s="93"/>
      <c r="L16" s="41"/>
      <c r="N16" s="96"/>
      <c r="O16" s="97"/>
      <c r="P16" s="97"/>
      <c r="Q16" s="98"/>
      <c r="S16" s="54"/>
    </row>
    <row r="17" spans="1:19" ht="30" customHeight="1" x14ac:dyDescent="0.3">
      <c r="A17" s="59"/>
      <c r="B17" s="38"/>
      <c r="C17" s="42"/>
      <c r="D17" s="43"/>
      <c r="E17" s="86"/>
      <c r="F17" s="86"/>
      <c r="G17" s="86"/>
      <c r="H17" s="86"/>
      <c r="I17" s="86"/>
      <c r="J17" s="86"/>
      <c r="K17" s="86"/>
      <c r="L17" s="66"/>
      <c r="M17" s="67"/>
      <c r="N17" s="96"/>
      <c r="O17" s="97"/>
      <c r="P17" s="97"/>
      <c r="Q17" s="98"/>
      <c r="S17" s="54"/>
    </row>
    <row r="18" spans="1:19" ht="30" customHeight="1" x14ac:dyDescent="0.3">
      <c r="A18" s="59"/>
      <c r="B18" s="38"/>
      <c r="C18" s="42"/>
      <c r="D18" s="43"/>
      <c r="E18" s="86"/>
      <c r="F18" s="86"/>
      <c r="G18" s="86"/>
      <c r="H18" s="86"/>
      <c r="I18" s="86"/>
      <c r="J18" s="86"/>
      <c r="K18" s="86"/>
      <c r="L18" s="44"/>
      <c r="N18" s="96"/>
      <c r="O18" s="97"/>
      <c r="P18" s="97"/>
      <c r="Q18" s="98"/>
      <c r="S18" s="54"/>
    </row>
    <row r="19" spans="1:19" ht="30" customHeight="1" x14ac:dyDescent="0.3">
      <c r="A19" s="59"/>
      <c r="B19" s="38"/>
      <c r="C19" s="42"/>
      <c r="D19" s="43"/>
      <c r="E19" s="86"/>
      <c r="F19" s="86"/>
      <c r="G19" s="86"/>
      <c r="H19" s="86"/>
      <c r="I19" s="86"/>
      <c r="J19" s="86"/>
      <c r="K19" s="86"/>
      <c r="L19" s="45"/>
      <c r="N19" s="96"/>
      <c r="O19" s="97"/>
      <c r="P19" s="97"/>
      <c r="Q19" s="98"/>
      <c r="S19" s="54"/>
    </row>
    <row r="20" spans="1:19" ht="30" customHeight="1" x14ac:dyDescent="0.3">
      <c r="A20" s="59"/>
      <c r="B20" s="38"/>
      <c r="C20" s="42"/>
      <c r="D20" s="43"/>
      <c r="E20" s="86"/>
      <c r="F20" s="86"/>
      <c r="G20" s="86"/>
      <c r="H20" s="86"/>
      <c r="I20" s="86"/>
      <c r="J20" s="86"/>
      <c r="K20" s="86"/>
      <c r="L20" s="44"/>
      <c r="N20" s="96"/>
      <c r="O20" s="97"/>
      <c r="P20" s="97"/>
      <c r="Q20" s="98"/>
      <c r="S20" s="54"/>
    </row>
    <row r="21" spans="1:19" ht="30" customHeight="1" x14ac:dyDescent="0.3">
      <c r="A21" s="59"/>
      <c r="B21" s="38"/>
      <c r="C21" s="42"/>
      <c r="D21" s="43"/>
      <c r="E21" s="86"/>
      <c r="F21" s="86"/>
      <c r="G21" s="86"/>
      <c r="H21" s="86"/>
      <c r="I21" s="86"/>
      <c r="J21" s="86"/>
      <c r="K21" s="86"/>
      <c r="L21" s="45"/>
      <c r="N21" s="96"/>
      <c r="O21" s="97"/>
      <c r="P21" s="97"/>
      <c r="Q21" s="98"/>
      <c r="S21" s="54"/>
    </row>
    <row r="22" spans="1:19" ht="30" customHeight="1" x14ac:dyDescent="0.3">
      <c r="A22" s="59"/>
      <c r="B22" s="38"/>
      <c r="C22" s="42"/>
      <c r="D22" s="43"/>
      <c r="E22" s="86"/>
      <c r="F22" s="86"/>
      <c r="G22" s="86"/>
      <c r="H22" s="86"/>
      <c r="I22" s="86"/>
      <c r="J22" s="86"/>
      <c r="K22" s="86"/>
      <c r="L22" s="44"/>
      <c r="N22" s="96"/>
      <c r="O22" s="97"/>
      <c r="P22" s="97"/>
      <c r="Q22" s="98"/>
      <c r="S22" s="54"/>
    </row>
    <row r="23" spans="1:19" ht="30" customHeight="1" x14ac:dyDescent="0.3">
      <c r="A23" s="59"/>
      <c r="B23" s="38"/>
      <c r="C23" s="42"/>
      <c r="D23" s="43"/>
      <c r="E23" s="86"/>
      <c r="F23" s="86"/>
      <c r="G23" s="86"/>
      <c r="H23" s="86"/>
      <c r="I23" s="86"/>
      <c r="J23" s="86"/>
      <c r="K23" s="86"/>
      <c r="L23" s="45"/>
      <c r="N23" s="96"/>
      <c r="O23" s="97"/>
      <c r="P23" s="97"/>
      <c r="Q23" s="98"/>
      <c r="S23" s="54"/>
    </row>
    <row r="24" spans="1:19" ht="30" customHeight="1" x14ac:dyDescent="0.3">
      <c r="A24" s="59"/>
      <c r="B24" s="38"/>
      <c r="C24" s="42"/>
      <c r="D24" s="43"/>
      <c r="E24" s="86"/>
      <c r="F24" s="86"/>
      <c r="G24" s="86"/>
      <c r="H24" s="86"/>
      <c r="I24" s="86"/>
      <c r="J24" s="86"/>
      <c r="K24" s="86"/>
      <c r="L24" s="46"/>
      <c r="N24" s="96"/>
      <c r="O24" s="97"/>
      <c r="P24" s="97"/>
      <c r="Q24" s="98"/>
      <c r="S24" s="54"/>
    </row>
    <row r="25" spans="1:19" ht="30" customHeight="1" x14ac:dyDescent="0.3">
      <c r="A25" s="59"/>
      <c r="B25" s="38"/>
      <c r="C25" s="42"/>
      <c r="D25" s="43"/>
      <c r="E25" s="86"/>
      <c r="F25" s="86"/>
      <c r="G25" s="86"/>
      <c r="H25" s="86"/>
      <c r="I25" s="86"/>
      <c r="J25" s="86"/>
      <c r="K25" s="86"/>
      <c r="L25" s="46"/>
      <c r="N25" s="96"/>
      <c r="O25" s="97"/>
      <c r="P25" s="97"/>
      <c r="Q25" s="98"/>
      <c r="S25" s="54"/>
    </row>
    <row r="26" spans="1:19" ht="30" customHeight="1" thickBot="1" x14ac:dyDescent="0.35">
      <c r="A26" s="59"/>
      <c r="B26" s="38"/>
      <c r="C26" s="47"/>
      <c r="D26" s="48"/>
      <c r="E26" s="87"/>
      <c r="F26" s="87"/>
      <c r="G26" s="87"/>
      <c r="H26" s="87"/>
      <c r="I26" s="87"/>
      <c r="J26" s="87"/>
      <c r="K26" s="87"/>
      <c r="L26" s="49"/>
      <c r="N26" s="96"/>
      <c r="O26" s="97"/>
      <c r="P26" s="97"/>
      <c r="Q26" s="98"/>
      <c r="S26" s="54"/>
    </row>
    <row r="27" spans="1:19" ht="30" customHeight="1" thickTop="1" x14ac:dyDescent="0.3">
      <c r="A27" s="59"/>
      <c r="B27" s="38"/>
      <c r="C27" s="38"/>
      <c r="D27" s="63"/>
      <c r="E27" s="63"/>
      <c r="F27" s="63"/>
      <c r="G27" s="63"/>
      <c r="H27" s="63"/>
      <c r="I27" s="63"/>
      <c r="J27" s="63"/>
      <c r="K27" s="63"/>
      <c r="L27" s="63"/>
      <c r="N27" s="64"/>
      <c r="O27" s="64"/>
      <c r="P27" s="62"/>
      <c r="Q27" s="65"/>
      <c r="S27" s="54"/>
    </row>
    <row r="28" spans="1:19" ht="30" customHeight="1" thickBot="1" x14ac:dyDescent="0.45">
      <c r="A28" s="58"/>
      <c r="B28" s="21"/>
      <c r="C28" s="21"/>
      <c r="D28" s="84"/>
      <c r="E28" s="37"/>
      <c r="F28" s="37"/>
      <c r="G28" s="37"/>
      <c r="H28" s="37"/>
      <c r="I28" s="37"/>
      <c r="J28" s="37"/>
      <c r="K28" s="37"/>
      <c r="L28" s="37"/>
      <c r="M28" s="36"/>
      <c r="N28" s="95" t="s">
        <v>21</v>
      </c>
      <c r="O28" s="95"/>
      <c r="P28" s="95"/>
      <c r="Q28" s="65"/>
      <c r="S28" s="54"/>
    </row>
    <row r="29" spans="1:19" ht="30" customHeight="1" thickTop="1" x14ac:dyDescent="0.3">
      <c r="A29" s="59"/>
      <c r="B29" s="38"/>
      <c r="C29" s="88" t="s">
        <v>21</v>
      </c>
      <c r="D29" s="89"/>
      <c r="E29" s="92" t="str">
        <f ca="1">TEXT(E6, "ddd dd/mm")</f>
        <v>Mon 07/09</v>
      </c>
      <c r="F29" s="92" t="str">
        <f t="shared" ref="F29:J29" ca="1" si="1">TEXT(F6, "ddd dd/mm")</f>
        <v>Tue 08/09</v>
      </c>
      <c r="G29" s="92" t="str">
        <f t="shared" ca="1" si="1"/>
        <v>Wed 09/09</v>
      </c>
      <c r="H29" s="92" t="str">
        <f t="shared" ca="1" si="1"/>
        <v>Thu 10/09</v>
      </c>
      <c r="I29" s="92" t="str">
        <f t="shared" ca="1" si="1"/>
        <v>Fri 11/09</v>
      </c>
      <c r="J29" s="92" t="str">
        <f t="shared" ca="1" si="1"/>
        <v>Sat 12/09</v>
      </c>
      <c r="K29" s="92" t="str">
        <f ca="1">TEXT(K6, "ddd dd/mm")</f>
        <v>Sun 13/09</v>
      </c>
      <c r="L29" s="39"/>
      <c r="M29" s="40"/>
      <c r="N29" s="96"/>
      <c r="O29" s="97"/>
      <c r="P29" s="97"/>
      <c r="Q29" s="98"/>
      <c r="S29" s="54"/>
    </row>
    <row r="30" spans="1:19" ht="30" customHeight="1" x14ac:dyDescent="0.3">
      <c r="A30" s="59"/>
      <c r="B30" s="38"/>
      <c r="C30" s="90"/>
      <c r="D30" s="91"/>
      <c r="E30" s="93"/>
      <c r="F30" s="93"/>
      <c r="G30" s="93"/>
      <c r="H30" s="93"/>
      <c r="I30" s="93"/>
      <c r="J30" s="93"/>
      <c r="K30" s="93"/>
      <c r="L30" s="41"/>
      <c r="N30" s="96"/>
      <c r="O30" s="97"/>
      <c r="P30" s="97"/>
      <c r="Q30" s="98"/>
      <c r="S30" s="54"/>
    </row>
    <row r="31" spans="1:19" ht="30" customHeight="1" x14ac:dyDescent="0.3">
      <c r="A31" s="59"/>
      <c r="B31" s="38"/>
      <c r="C31" s="42"/>
      <c r="D31" s="43"/>
      <c r="E31" s="86"/>
      <c r="F31" s="86"/>
      <c r="G31" s="86"/>
      <c r="H31" s="86"/>
      <c r="I31" s="86"/>
      <c r="J31" s="86"/>
      <c r="K31" s="86"/>
      <c r="L31" s="66"/>
      <c r="M31" s="67"/>
      <c r="N31" s="96"/>
      <c r="O31" s="97"/>
      <c r="P31" s="97"/>
      <c r="Q31" s="98"/>
      <c r="S31" s="54"/>
    </row>
    <row r="32" spans="1:19" ht="30" customHeight="1" x14ac:dyDescent="0.3">
      <c r="A32" s="59"/>
      <c r="B32" s="38"/>
      <c r="C32" s="42"/>
      <c r="D32" s="43"/>
      <c r="E32" s="86"/>
      <c r="F32" s="86"/>
      <c r="G32" s="86"/>
      <c r="H32" s="86"/>
      <c r="I32" s="86"/>
      <c r="J32" s="86"/>
      <c r="K32" s="86"/>
      <c r="L32" s="44"/>
      <c r="N32" s="96"/>
      <c r="O32" s="97"/>
      <c r="P32" s="97"/>
      <c r="Q32" s="98"/>
      <c r="S32" s="54"/>
    </row>
    <row r="33" spans="1:19" ht="30" customHeight="1" x14ac:dyDescent="0.3">
      <c r="A33" s="59"/>
      <c r="B33" s="38"/>
      <c r="C33" s="42"/>
      <c r="D33" s="43"/>
      <c r="E33" s="86"/>
      <c r="F33" s="86"/>
      <c r="G33" s="86"/>
      <c r="H33" s="86"/>
      <c r="I33" s="86"/>
      <c r="J33" s="86"/>
      <c r="K33" s="86"/>
      <c r="L33" s="45"/>
      <c r="N33" s="96"/>
      <c r="O33" s="97"/>
      <c r="P33" s="97"/>
      <c r="Q33" s="98"/>
      <c r="S33" s="54"/>
    </row>
    <row r="34" spans="1:19" ht="30" customHeight="1" x14ac:dyDescent="0.3">
      <c r="A34" s="59"/>
      <c r="B34" s="38"/>
      <c r="C34" s="42"/>
      <c r="D34" s="43"/>
      <c r="E34" s="86"/>
      <c r="F34" s="86"/>
      <c r="G34" s="86"/>
      <c r="H34" s="86"/>
      <c r="I34" s="86"/>
      <c r="J34" s="86"/>
      <c r="K34" s="86"/>
      <c r="L34" s="44"/>
      <c r="N34" s="96"/>
      <c r="O34" s="97"/>
      <c r="P34" s="97"/>
      <c r="Q34" s="98"/>
      <c r="S34" s="54"/>
    </row>
    <row r="35" spans="1:19" ht="30" customHeight="1" x14ac:dyDescent="0.3">
      <c r="A35" s="59"/>
      <c r="B35" s="38"/>
      <c r="C35" s="42"/>
      <c r="D35" s="43"/>
      <c r="E35" s="86"/>
      <c r="F35" s="86"/>
      <c r="G35" s="86"/>
      <c r="H35" s="86"/>
      <c r="I35" s="86"/>
      <c r="J35" s="86"/>
      <c r="K35" s="86"/>
      <c r="L35" s="45"/>
      <c r="N35" s="96"/>
      <c r="O35" s="97"/>
      <c r="P35" s="97"/>
      <c r="Q35" s="98"/>
      <c r="S35" s="54"/>
    </row>
    <row r="36" spans="1:19" ht="30" customHeight="1" x14ac:dyDescent="0.3">
      <c r="A36" s="59"/>
      <c r="B36" s="38"/>
      <c r="C36" s="42"/>
      <c r="D36" s="43"/>
      <c r="E36" s="86"/>
      <c r="F36" s="86"/>
      <c r="G36" s="86"/>
      <c r="H36" s="86"/>
      <c r="I36" s="86"/>
      <c r="J36" s="86"/>
      <c r="K36" s="86"/>
      <c r="L36" s="44"/>
      <c r="N36" s="96"/>
      <c r="O36" s="97"/>
      <c r="P36" s="97"/>
      <c r="Q36" s="98"/>
      <c r="S36" s="54"/>
    </row>
    <row r="37" spans="1:19" ht="30" customHeight="1" x14ac:dyDescent="0.3">
      <c r="A37" s="59"/>
      <c r="B37" s="38"/>
      <c r="C37" s="42"/>
      <c r="D37" s="43"/>
      <c r="E37" s="86"/>
      <c r="F37" s="86"/>
      <c r="G37" s="86"/>
      <c r="H37" s="86"/>
      <c r="I37" s="86"/>
      <c r="J37" s="86"/>
      <c r="K37" s="86"/>
      <c r="L37" s="45"/>
      <c r="N37" s="96"/>
      <c r="O37" s="97"/>
      <c r="P37" s="97"/>
      <c r="Q37" s="98"/>
      <c r="S37" s="54"/>
    </row>
    <row r="38" spans="1:19" ht="30" customHeight="1" x14ac:dyDescent="0.3">
      <c r="A38" s="59"/>
      <c r="B38" s="38"/>
      <c r="C38" s="42"/>
      <c r="D38" s="43"/>
      <c r="E38" s="86"/>
      <c r="F38" s="86"/>
      <c r="G38" s="86"/>
      <c r="H38" s="86"/>
      <c r="I38" s="86"/>
      <c r="J38" s="86"/>
      <c r="K38" s="86"/>
      <c r="L38" s="46"/>
      <c r="N38" s="96"/>
      <c r="O38" s="97"/>
      <c r="P38" s="97"/>
      <c r="Q38" s="98"/>
      <c r="S38" s="54"/>
    </row>
    <row r="39" spans="1:19" ht="30" customHeight="1" x14ac:dyDescent="0.3">
      <c r="A39" s="59"/>
      <c r="B39" s="38"/>
      <c r="C39" s="42"/>
      <c r="D39" s="43"/>
      <c r="E39" s="86"/>
      <c r="F39" s="86"/>
      <c r="G39" s="86"/>
      <c r="H39" s="86"/>
      <c r="I39" s="86"/>
      <c r="J39" s="86"/>
      <c r="K39" s="86"/>
      <c r="L39" s="46"/>
      <c r="N39" s="96"/>
      <c r="O39" s="97"/>
      <c r="P39" s="97"/>
      <c r="Q39" s="98"/>
      <c r="S39" s="54"/>
    </row>
    <row r="40" spans="1:19" ht="30" customHeight="1" thickBot="1" x14ac:dyDescent="0.35">
      <c r="A40" s="59"/>
      <c r="B40" s="38"/>
      <c r="C40" s="47"/>
      <c r="D40" s="48"/>
      <c r="E40" s="87"/>
      <c r="F40" s="87"/>
      <c r="G40" s="87"/>
      <c r="H40" s="87"/>
      <c r="I40" s="87"/>
      <c r="J40" s="87"/>
      <c r="K40" s="87"/>
      <c r="L40" s="49"/>
      <c r="N40" s="96"/>
      <c r="O40" s="97"/>
      <c r="P40" s="97"/>
      <c r="Q40" s="98"/>
      <c r="S40" s="54"/>
    </row>
    <row r="41" spans="1:19" ht="30" customHeight="1" thickTop="1" x14ac:dyDescent="0.3">
      <c r="A41" s="59"/>
      <c r="B41" s="38"/>
      <c r="C41" s="38"/>
      <c r="D41" s="63"/>
      <c r="E41" s="63"/>
      <c r="F41" s="63"/>
      <c r="G41" s="63"/>
      <c r="H41" s="63"/>
      <c r="I41" s="63"/>
      <c r="J41" s="63"/>
      <c r="K41" s="63"/>
      <c r="L41" s="63"/>
      <c r="N41" s="64"/>
      <c r="O41" s="64"/>
      <c r="P41" s="62"/>
      <c r="Q41" s="65"/>
      <c r="S41" s="54"/>
    </row>
    <row r="42" spans="1:19" ht="30" customHeight="1" thickBot="1" x14ac:dyDescent="0.45">
      <c r="A42" s="59"/>
      <c r="B42" s="38"/>
      <c r="C42" s="38"/>
      <c r="D42" s="84"/>
      <c r="E42" s="37"/>
      <c r="F42" s="37"/>
      <c r="G42" s="37"/>
      <c r="H42" s="37"/>
      <c r="I42" s="37"/>
      <c r="J42" s="37"/>
      <c r="K42" s="37"/>
      <c r="L42" s="48"/>
      <c r="N42" s="95" t="s">
        <v>22</v>
      </c>
      <c r="O42" s="95"/>
      <c r="P42" s="95"/>
      <c r="Q42" s="65"/>
      <c r="S42" s="54"/>
    </row>
    <row r="43" spans="1:19" ht="30" customHeight="1" thickTop="1" x14ac:dyDescent="0.3">
      <c r="A43" s="59"/>
      <c r="B43" s="38"/>
      <c r="C43" s="88" t="s">
        <v>22</v>
      </c>
      <c r="D43" s="89"/>
      <c r="E43" s="92" t="str">
        <f ca="1">TEXT(E7, "ddd dd/mm")</f>
        <v>Mon 14/09</v>
      </c>
      <c r="F43" s="92" t="str">
        <f t="shared" ref="F43:K43" ca="1" si="2">TEXT(F7, "ddd dd/mm")</f>
        <v>Tue 15/09</v>
      </c>
      <c r="G43" s="92" t="str">
        <f t="shared" ca="1" si="2"/>
        <v>Wed 16/09</v>
      </c>
      <c r="H43" s="92" t="str">
        <f t="shared" ca="1" si="2"/>
        <v>Thu 17/09</v>
      </c>
      <c r="I43" s="92" t="str">
        <f t="shared" ca="1" si="2"/>
        <v>Fri 18/09</v>
      </c>
      <c r="J43" s="92" t="str">
        <f t="shared" ca="1" si="2"/>
        <v>Sat 19/09</v>
      </c>
      <c r="K43" s="92" t="str">
        <f t="shared" ca="1" si="2"/>
        <v>Sun 20/09</v>
      </c>
      <c r="L43" s="39"/>
      <c r="N43" s="96"/>
      <c r="O43" s="97"/>
      <c r="P43" s="97"/>
      <c r="Q43" s="98"/>
      <c r="S43" s="54"/>
    </row>
    <row r="44" spans="1:19" ht="30" customHeight="1" x14ac:dyDescent="0.3">
      <c r="A44" s="59"/>
      <c r="B44" s="38"/>
      <c r="C44" s="90"/>
      <c r="D44" s="91"/>
      <c r="E44" s="93"/>
      <c r="F44" s="93"/>
      <c r="G44" s="93"/>
      <c r="H44" s="93"/>
      <c r="I44" s="93"/>
      <c r="J44" s="93"/>
      <c r="K44" s="93"/>
      <c r="L44" s="41"/>
      <c r="N44" s="96"/>
      <c r="O44" s="97"/>
      <c r="P44" s="97"/>
      <c r="Q44" s="98"/>
      <c r="S44" s="54"/>
    </row>
    <row r="45" spans="1:19" ht="30" customHeight="1" x14ac:dyDescent="0.3">
      <c r="A45" s="59"/>
      <c r="B45" s="38"/>
      <c r="C45" s="42"/>
      <c r="D45" s="43"/>
      <c r="E45" s="86"/>
      <c r="F45" s="86"/>
      <c r="G45" s="86"/>
      <c r="H45" s="86"/>
      <c r="I45" s="86"/>
      <c r="J45" s="86"/>
      <c r="K45" s="86"/>
      <c r="L45" s="66"/>
      <c r="N45" s="96"/>
      <c r="O45" s="97"/>
      <c r="P45" s="97"/>
      <c r="Q45" s="98"/>
      <c r="S45" s="54"/>
    </row>
    <row r="46" spans="1:19" ht="30" customHeight="1" x14ac:dyDescent="0.3">
      <c r="A46" s="59"/>
      <c r="B46" s="38"/>
      <c r="C46" s="42"/>
      <c r="D46" s="43"/>
      <c r="E46" s="86"/>
      <c r="F46" s="86"/>
      <c r="G46" s="86"/>
      <c r="H46" s="86"/>
      <c r="I46" s="86"/>
      <c r="J46" s="86"/>
      <c r="K46" s="86"/>
      <c r="L46" s="44"/>
      <c r="N46" s="96"/>
      <c r="O46" s="97"/>
      <c r="P46" s="97"/>
      <c r="Q46" s="98"/>
      <c r="S46" s="54"/>
    </row>
    <row r="47" spans="1:19" ht="30" customHeight="1" x14ac:dyDescent="0.3">
      <c r="A47" s="59"/>
      <c r="B47" s="38"/>
      <c r="C47" s="42"/>
      <c r="D47" s="43"/>
      <c r="E47" s="86"/>
      <c r="F47" s="86"/>
      <c r="G47" s="86"/>
      <c r="H47" s="86"/>
      <c r="I47" s="86"/>
      <c r="J47" s="86"/>
      <c r="K47" s="86"/>
      <c r="L47" s="45"/>
      <c r="N47" s="96"/>
      <c r="O47" s="97"/>
      <c r="P47" s="97"/>
      <c r="Q47" s="98"/>
      <c r="S47" s="54"/>
    </row>
    <row r="48" spans="1:19" ht="30" customHeight="1" x14ac:dyDescent="0.3">
      <c r="A48" s="59"/>
      <c r="B48" s="38"/>
      <c r="C48" s="42"/>
      <c r="D48" s="43"/>
      <c r="E48" s="86"/>
      <c r="F48" s="86"/>
      <c r="G48" s="86"/>
      <c r="H48" s="86"/>
      <c r="I48" s="86"/>
      <c r="J48" s="86"/>
      <c r="K48" s="86"/>
      <c r="L48" s="44"/>
      <c r="N48" s="96"/>
      <c r="O48" s="97"/>
      <c r="P48" s="97"/>
      <c r="Q48" s="98"/>
      <c r="S48" s="54"/>
    </row>
    <row r="49" spans="1:19" ht="30" customHeight="1" x14ac:dyDescent="0.3">
      <c r="A49" s="59"/>
      <c r="B49" s="38"/>
      <c r="C49" s="42"/>
      <c r="D49" s="43"/>
      <c r="E49" s="86"/>
      <c r="F49" s="86"/>
      <c r="G49" s="86"/>
      <c r="H49" s="86"/>
      <c r="I49" s="86"/>
      <c r="J49" s="86"/>
      <c r="K49" s="86"/>
      <c r="L49" s="45"/>
      <c r="N49" s="96"/>
      <c r="O49" s="97"/>
      <c r="P49" s="97"/>
      <c r="Q49" s="98"/>
      <c r="S49" s="54"/>
    </row>
    <row r="50" spans="1:19" ht="30" customHeight="1" x14ac:dyDescent="0.3">
      <c r="A50" s="59"/>
      <c r="B50" s="38"/>
      <c r="C50" s="42"/>
      <c r="D50" s="43"/>
      <c r="E50" s="86"/>
      <c r="F50" s="86"/>
      <c r="G50" s="86"/>
      <c r="H50" s="86"/>
      <c r="I50" s="86"/>
      <c r="J50" s="86"/>
      <c r="K50" s="86"/>
      <c r="L50" s="44"/>
      <c r="N50" s="96"/>
      <c r="O50" s="97"/>
      <c r="P50" s="97"/>
      <c r="Q50" s="98"/>
      <c r="S50" s="54"/>
    </row>
    <row r="51" spans="1:19" ht="30" customHeight="1" x14ac:dyDescent="0.3">
      <c r="A51" s="59"/>
      <c r="B51" s="38"/>
      <c r="C51" s="42"/>
      <c r="D51" s="43"/>
      <c r="E51" s="86"/>
      <c r="F51" s="86"/>
      <c r="G51" s="86"/>
      <c r="H51" s="86"/>
      <c r="I51" s="86"/>
      <c r="J51" s="86"/>
      <c r="K51" s="86"/>
      <c r="L51" s="45"/>
      <c r="N51" s="96"/>
      <c r="O51" s="97"/>
      <c r="P51" s="97"/>
      <c r="Q51" s="98"/>
      <c r="S51" s="54"/>
    </row>
    <row r="52" spans="1:19" ht="30" customHeight="1" x14ac:dyDescent="0.3">
      <c r="A52" s="59"/>
      <c r="B52" s="38"/>
      <c r="C52" s="42"/>
      <c r="D52" s="43"/>
      <c r="E52" s="86"/>
      <c r="F52" s="86"/>
      <c r="G52" s="86"/>
      <c r="H52" s="86"/>
      <c r="I52" s="86"/>
      <c r="J52" s="86"/>
      <c r="K52" s="86"/>
      <c r="L52" s="46"/>
      <c r="N52" s="96"/>
      <c r="O52" s="97"/>
      <c r="P52" s="97"/>
      <c r="Q52" s="98"/>
      <c r="S52" s="54"/>
    </row>
    <row r="53" spans="1:19" ht="30" customHeight="1" x14ac:dyDescent="0.3">
      <c r="A53" s="59"/>
      <c r="B53" s="38"/>
      <c r="C53" s="42"/>
      <c r="D53" s="43"/>
      <c r="E53" s="86"/>
      <c r="F53" s="86"/>
      <c r="G53" s="86"/>
      <c r="H53" s="86"/>
      <c r="I53" s="86"/>
      <c r="J53" s="86"/>
      <c r="K53" s="86"/>
      <c r="L53" s="46"/>
      <c r="N53" s="96"/>
      <c r="O53" s="97"/>
      <c r="P53" s="97"/>
      <c r="Q53" s="98"/>
      <c r="S53" s="54"/>
    </row>
    <row r="54" spans="1:19" ht="30" customHeight="1" thickBot="1" x14ac:dyDescent="0.35">
      <c r="A54" s="59"/>
      <c r="B54" s="38"/>
      <c r="C54" s="47"/>
      <c r="D54" s="48"/>
      <c r="E54" s="87"/>
      <c r="F54" s="87"/>
      <c r="G54" s="87"/>
      <c r="H54" s="87"/>
      <c r="I54" s="87"/>
      <c r="J54" s="87"/>
      <c r="K54" s="87"/>
      <c r="L54" s="49"/>
      <c r="N54" s="96"/>
      <c r="O54" s="97"/>
      <c r="P54" s="97"/>
      <c r="Q54" s="98"/>
      <c r="S54" s="54"/>
    </row>
    <row r="55" spans="1:19" ht="30" customHeight="1" thickTop="1" x14ac:dyDescent="0.3">
      <c r="A55" s="59"/>
      <c r="B55" s="38"/>
      <c r="C55" s="38"/>
      <c r="D55" s="63"/>
      <c r="E55" s="63"/>
      <c r="F55" s="63"/>
      <c r="G55" s="63"/>
      <c r="H55" s="63"/>
      <c r="I55" s="63"/>
      <c r="J55" s="63"/>
      <c r="K55" s="63"/>
      <c r="L55" s="63"/>
      <c r="N55" s="64"/>
      <c r="O55" s="64"/>
      <c r="P55" s="62"/>
      <c r="Q55" s="65"/>
      <c r="S55" s="54"/>
    </row>
    <row r="56" spans="1:19" ht="30" customHeight="1" thickBot="1" x14ac:dyDescent="0.45">
      <c r="A56" s="59"/>
      <c r="B56" s="38"/>
      <c r="C56" s="38"/>
      <c r="D56" s="84"/>
      <c r="E56" s="63"/>
      <c r="F56" s="63"/>
      <c r="G56" s="63"/>
      <c r="H56" s="63"/>
      <c r="I56" s="63"/>
      <c r="J56" s="63"/>
      <c r="K56" s="63"/>
      <c r="L56" s="63"/>
      <c r="N56" s="95" t="s">
        <v>23</v>
      </c>
      <c r="O56" s="95"/>
      <c r="P56" s="95"/>
      <c r="Q56" s="65"/>
      <c r="S56" s="54"/>
    </row>
    <row r="57" spans="1:19" ht="30" customHeight="1" thickTop="1" x14ac:dyDescent="0.3">
      <c r="A57" s="59"/>
      <c r="B57" s="38"/>
      <c r="C57" s="88" t="s">
        <v>23</v>
      </c>
      <c r="D57" s="89"/>
      <c r="E57" s="92" t="str">
        <f ca="1">TEXT(E8, "ddd dd/mm")</f>
        <v>Mon 21/09</v>
      </c>
      <c r="F57" s="92" t="str">
        <f t="shared" ref="F57:K57" ca="1" si="3">TEXT(F8, "ddd dd/mm")</f>
        <v>Tue 22/09</v>
      </c>
      <c r="G57" s="92" t="str">
        <f t="shared" ca="1" si="3"/>
        <v>Wed 23/09</v>
      </c>
      <c r="H57" s="92" t="str">
        <f t="shared" ca="1" si="3"/>
        <v>Thu 24/09</v>
      </c>
      <c r="I57" s="92" t="str">
        <f t="shared" ca="1" si="3"/>
        <v>Fri 25/09</v>
      </c>
      <c r="J57" s="92" t="str">
        <f t="shared" ca="1" si="3"/>
        <v>Sat 26/09</v>
      </c>
      <c r="K57" s="92" t="str">
        <f t="shared" ca="1" si="3"/>
        <v>Sun 27/09</v>
      </c>
      <c r="L57" s="39"/>
      <c r="N57" s="96"/>
      <c r="O57" s="97"/>
      <c r="P57" s="97"/>
      <c r="Q57" s="98"/>
      <c r="S57" s="54"/>
    </row>
    <row r="58" spans="1:19" ht="30" customHeight="1" x14ac:dyDescent="0.3">
      <c r="A58" s="59"/>
      <c r="B58" s="38"/>
      <c r="C58" s="90"/>
      <c r="D58" s="91"/>
      <c r="E58" s="93"/>
      <c r="F58" s="93"/>
      <c r="G58" s="93"/>
      <c r="H58" s="93"/>
      <c r="I58" s="93"/>
      <c r="J58" s="93"/>
      <c r="K58" s="93"/>
      <c r="L58" s="41"/>
      <c r="N58" s="96"/>
      <c r="O58" s="97"/>
      <c r="P58" s="97"/>
      <c r="Q58" s="98"/>
      <c r="S58" s="54"/>
    </row>
    <row r="59" spans="1:19" ht="30" customHeight="1" x14ac:dyDescent="0.3">
      <c r="A59" s="59"/>
      <c r="B59" s="38"/>
      <c r="C59" s="42"/>
      <c r="D59" s="43"/>
      <c r="E59" s="86"/>
      <c r="F59" s="86"/>
      <c r="G59" s="86"/>
      <c r="H59" s="86"/>
      <c r="I59" s="86"/>
      <c r="J59" s="86"/>
      <c r="K59" s="86"/>
      <c r="L59" s="66"/>
      <c r="N59" s="96"/>
      <c r="O59" s="97"/>
      <c r="P59" s="97"/>
      <c r="Q59" s="98"/>
      <c r="S59" s="54"/>
    </row>
    <row r="60" spans="1:19" ht="30" customHeight="1" x14ac:dyDescent="0.3">
      <c r="A60" s="59"/>
      <c r="B60" s="38"/>
      <c r="C60" s="42"/>
      <c r="D60" s="43"/>
      <c r="E60" s="86"/>
      <c r="F60" s="86"/>
      <c r="G60" s="86"/>
      <c r="H60" s="86"/>
      <c r="I60" s="86"/>
      <c r="J60" s="86"/>
      <c r="K60" s="86"/>
      <c r="L60" s="44"/>
      <c r="N60" s="96"/>
      <c r="O60" s="97"/>
      <c r="P60" s="97"/>
      <c r="Q60" s="98"/>
      <c r="S60" s="54"/>
    </row>
    <row r="61" spans="1:19" ht="30" customHeight="1" x14ac:dyDescent="0.3">
      <c r="A61" s="59"/>
      <c r="B61" s="38"/>
      <c r="C61" s="42"/>
      <c r="D61" s="43"/>
      <c r="E61" s="86"/>
      <c r="F61" s="86"/>
      <c r="G61" s="86"/>
      <c r="H61" s="86"/>
      <c r="I61" s="86"/>
      <c r="J61" s="86"/>
      <c r="K61" s="86"/>
      <c r="L61" s="45"/>
      <c r="N61" s="96"/>
      <c r="O61" s="97"/>
      <c r="P61" s="97"/>
      <c r="Q61" s="98"/>
      <c r="S61" s="54"/>
    </row>
    <row r="62" spans="1:19" ht="30" customHeight="1" x14ac:dyDescent="0.3">
      <c r="A62" s="59"/>
      <c r="B62" s="38"/>
      <c r="C62" s="42"/>
      <c r="D62" s="43"/>
      <c r="E62" s="86"/>
      <c r="F62" s="86"/>
      <c r="G62" s="86"/>
      <c r="H62" s="86"/>
      <c r="I62" s="86"/>
      <c r="J62" s="86"/>
      <c r="K62" s="86"/>
      <c r="L62" s="44"/>
      <c r="N62" s="96"/>
      <c r="O62" s="97"/>
      <c r="P62" s="97"/>
      <c r="Q62" s="98"/>
      <c r="S62" s="54"/>
    </row>
    <row r="63" spans="1:19" ht="30" customHeight="1" x14ac:dyDescent="0.3">
      <c r="A63" s="59"/>
      <c r="B63" s="38"/>
      <c r="C63" s="42"/>
      <c r="D63" s="43"/>
      <c r="E63" s="86"/>
      <c r="F63" s="86"/>
      <c r="G63" s="86"/>
      <c r="H63" s="86"/>
      <c r="I63" s="86"/>
      <c r="J63" s="86"/>
      <c r="K63" s="86"/>
      <c r="L63" s="45"/>
      <c r="N63" s="96"/>
      <c r="O63" s="97"/>
      <c r="P63" s="97"/>
      <c r="Q63" s="98"/>
      <c r="S63" s="54"/>
    </row>
    <row r="64" spans="1:19" ht="30" customHeight="1" x14ac:dyDescent="0.3">
      <c r="A64" s="59"/>
      <c r="B64" s="38"/>
      <c r="C64" s="42"/>
      <c r="D64" s="43"/>
      <c r="E64" s="86"/>
      <c r="F64" s="86"/>
      <c r="G64" s="86"/>
      <c r="H64" s="86"/>
      <c r="I64" s="86"/>
      <c r="J64" s="86"/>
      <c r="K64" s="86"/>
      <c r="L64" s="44"/>
      <c r="N64" s="96"/>
      <c r="O64" s="97"/>
      <c r="P64" s="97"/>
      <c r="Q64" s="98"/>
      <c r="S64" s="54"/>
    </row>
    <row r="65" spans="1:21" ht="30" customHeight="1" x14ac:dyDescent="0.3">
      <c r="A65" s="59"/>
      <c r="B65" s="38"/>
      <c r="C65" s="42"/>
      <c r="D65" s="43"/>
      <c r="E65" s="86"/>
      <c r="F65" s="86"/>
      <c r="G65" s="86"/>
      <c r="H65" s="86"/>
      <c r="I65" s="86"/>
      <c r="J65" s="86"/>
      <c r="K65" s="86"/>
      <c r="L65" s="45"/>
      <c r="N65" s="96"/>
      <c r="O65" s="97"/>
      <c r="P65" s="97"/>
      <c r="Q65" s="98"/>
      <c r="S65" s="54"/>
    </row>
    <row r="66" spans="1:21" ht="30" customHeight="1" x14ac:dyDescent="0.3">
      <c r="A66" s="59"/>
      <c r="B66" s="38"/>
      <c r="C66" s="42"/>
      <c r="D66" s="43"/>
      <c r="E66" s="86"/>
      <c r="F66" s="86"/>
      <c r="G66" s="86"/>
      <c r="H66" s="86"/>
      <c r="I66" s="86"/>
      <c r="J66" s="86"/>
      <c r="K66" s="86"/>
      <c r="L66" s="46"/>
      <c r="N66" s="96"/>
      <c r="O66" s="97"/>
      <c r="P66" s="97"/>
      <c r="Q66" s="98"/>
      <c r="S66" s="54"/>
    </row>
    <row r="67" spans="1:21" ht="30" customHeight="1" x14ac:dyDescent="0.3">
      <c r="A67" s="59"/>
      <c r="B67" s="38"/>
      <c r="C67" s="42"/>
      <c r="D67" s="43"/>
      <c r="E67" s="86"/>
      <c r="F67" s="86"/>
      <c r="G67" s="86"/>
      <c r="H67" s="86"/>
      <c r="I67" s="86"/>
      <c r="J67" s="86"/>
      <c r="K67" s="86"/>
      <c r="L67" s="46"/>
      <c r="N67" s="96"/>
      <c r="O67" s="97"/>
      <c r="P67" s="97"/>
      <c r="Q67" s="98"/>
      <c r="S67" s="54"/>
    </row>
    <row r="68" spans="1:21" ht="30" customHeight="1" thickBot="1" x14ac:dyDescent="0.35">
      <c r="A68" s="59"/>
      <c r="B68" s="38"/>
      <c r="C68" s="47"/>
      <c r="D68" s="48"/>
      <c r="E68" s="87"/>
      <c r="F68" s="87"/>
      <c r="G68" s="87"/>
      <c r="H68" s="87"/>
      <c r="I68" s="87"/>
      <c r="J68" s="87"/>
      <c r="K68" s="87"/>
      <c r="L68" s="49"/>
      <c r="N68" s="96"/>
      <c r="O68" s="97"/>
      <c r="P68" s="97"/>
      <c r="Q68" s="98"/>
      <c r="S68" s="54"/>
    </row>
    <row r="69" spans="1:21" ht="30" customHeight="1" thickTop="1" x14ac:dyDescent="0.3">
      <c r="A69" s="59"/>
      <c r="B69" s="38"/>
      <c r="C69" s="38"/>
      <c r="D69" s="63"/>
      <c r="E69" s="63"/>
      <c r="F69" s="63"/>
      <c r="G69" s="63"/>
      <c r="H69" s="63"/>
      <c r="I69" s="63"/>
      <c r="J69" s="63"/>
      <c r="K69" s="63"/>
      <c r="L69" s="63"/>
      <c r="N69" s="64"/>
      <c r="O69" s="64"/>
      <c r="P69" s="62"/>
      <c r="Q69" s="65"/>
      <c r="S69" s="54"/>
    </row>
    <row r="70" spans="1:21" ht="30" customHeight="1" thickBot="1" x14ac:dyDescent="0.45">
      <c r="A70" s="59"/>
      <c r="B70" s="38"/>
      <c r="C70" s="38"/>
      <c r="D70" s="84"/>
      <c r="E70" s="63"/>
      <c r="F70" s="63"/>
      <c r="G70" s="63"/>
      <c r="H70" s="63"/>
      <c r="I70" s="63"/>
      <c r="J70" s="63"/>
      <c r="K70" s="63"/>
      <c r="L70" s="63"/>
      <c r="N70" s="95" t="s">
        <v>24</v>
      </c>
      <c r="O70" s="95"/>
      <c r="P70" s="95"/>
      <c r="Q70" s="65"/>
      <c r="S70" s="54"/>
    </row>
    <row r="71" spans="1:21" ht="30" customHeight="1" thickTop="1" x14ac:dyDescent="0.3">
      <c r="A71" s="59"/>
      <c r="B71" s="38"/>
      <c r="C71" s="88" t="s">
        <v>24</v>
      </c>
      <c r="D71" s="89"/>
      <c r="E71" s="92" t="str">
        <f ca="1">TEXT(E9, "ddd dd/mm")</f>
        <v>Mon 28/09</v>
      </c>
      <c r="F71" s="92" t="str">
        <f t="shared" ref="F71:G71" ca="1" si="4">TEXT(F9, "ddd dd/mm")</f>
        <v>Tue 29/09</v>
      </c>
      <c r="G71" s="92" t="str">
        <f t="shared" ca="1" si="4"/>
        <v>Wed 30/09</v>
      </c>
      <c r="H71" s="92"/>
      <c r="I71" s="92"/>
      <c r="J71" s="92"/>
      <c r="K71" s="92"/>
      <c r="L71" s="39"/>
      <c r="N71" s="96"/>
      <c r="O71" s="97"/>
      <c r="P71" s="97"/>
      <c r="Q71" s="98"/>
      <c r="S71" s="54"/>
    </row>
    <row r="72" spans="1:21" ht="30" customHeight="1" x14ac:dyDescent="0.3">
      <c r="A72" s="59"/>
      <c r="B72" s="38"/>
      <c r="C72" s="90"/>
      <c r="D72" s="91"/>
      <c r="E72" s="93"/>
      <c r="F72" s="93"/>
      <c r="G72" s="93"/>
      <c r="H72" s="93"/>
      <c r="I72" s="93"/>
      <c r="J72" s="93"/>
      <c r="K72" s="93"/>
      <c r="L72" s="41"/>
      <c r="N72" s="96"/>
      <c r="O72" s="97"/>
      <c r="P72" s="97"/>
      <c r="Q72" s="98"/>
      <c r="R72" s="3"/>
      <c r="S72" s="54"/>
      <c r="T72" s="3"/>
      <c r="U72" s="3"/>
    </row>
    <row r="73" spans="1:21" ht="30" customHeight="1" x14ac:dyDescent="0.3">
      <c r="A73" s="59"/>
      <c r="B73" s="38"/>
      <c r="C73" s="42"/>
      <c r="D73" s="43"/>
      <c r="E73" s="86"/>
      <c r="F73" s="86"/>
      <c r="G73" s="86"/>
      <c r="H73" s="86"/>
      <c r="I73" s="86"/>
      <c r="J73" s="86"/>
      <c r="K73" s="86"/>
      <c r="L73" s="66"/>
      <c r="N73" s="96"/>
      <c r="O73" s="97"/>
      <c r="P73" s="97"/>
      <c r="Q73" s="98"/>
      <c r="S73" s="54"/>
    </row>
    <row r="74" spans="1:21" ht="30" customHeight="1" x14ac:dyDescent="0.3">
      <c r="A74" s="59"/>
      <c r="B74" s="38"/>
      <c r="C74" s="42"/>
      <c r="D74" s="43"/>
      <c r="E74" s="86"/>
      <c r="F74" s="86"/>
      <c r="G74" s="86"/>
      <c r="H74" s="86"/>
      <c r="I74" s="86"/>
      <c r="J74" s="86"/>
      <c r="K74" s="86"/>
      <c r="L74" s="44"/>
      <c r="N74" s="96"/>
      <c r="O74" s="97"/>
      <c r="P74" s="97"/>
      <c r="Q74" s="98"/>
      <c r="S74" s="54"/>
    </row>
    <row r="75" spans="1:21" ht="30" customHeight="1" x14ac:dyDescent="0.3">
      <c r="A75" s="59"/>
      <c r="B75" s="38"/>
      <c r="C75" s="42"/>
      <c r="D75" s="43"/>
      <c r="E75" s="86"/>
      <c r="F75" s="86"/>
      <c r="G75" s="86"/>
      <c r="H75" s="86"/>
      <c r="I75" s="86"/>
      <c r="J75" s="86"/>
      <c r="K75" s="86"/>
      <c r="L75" s="45"/>
      <c r="N75" s="96"/>
      <c r="O75" s="97"/>
      <c r="P75" s="97"/>
      <c r="Q75" s="98"/>
      <c r="S75" s="54"/>
    </row>
    <row r="76" spans="1:21" ht="30" customHeight="1" x14ac:dyDescent="0.3">
      <c r="A76" s="59"/>
      <c r="B76" s="38"/>
      <c r="C76" s="42"/>
      <c r="D76" s="43"/>
      <c r="E76" s="86"/>
      <c r="F76" s="86"/>
      <c r="G76" s="86"/>
      <c r="H76" s="86"/>
      <c r="I76" s="86"/>
      <c r="J76" s="86"/>
      <c r="K76" s="86"/>
      <c r="L76" s="44"/>
      <c r="N76" s="96"/>
      <c r="O76" s="97"/>
      <c r="P76" s="97"/>
      <c r="Q76" s="98"/>
      <c r="S76" s="54"/>
    </row>
    <row r="77" spans="1:21" ht="30" customHeight="1" x14ac:dyDescent="0.3">
      <c r="A77" s="59"/>
      <c r="B77" s="38"/>
      <c r="C77" s="42"/>
      <c r="D77" s="43"/>
      <c r="E77" s="86"/>
      <c r="F77" s="86"/>
      <c r="G77" s="86"/>
      <c r="H77" s="86"/>
      <c r="I77" s="86"/>
      <c r="J77" s="86"/>
      <c r="K77" s="86"/>
      <c r="L77" s="45"/>
      <c r="N77" s="96"/>
      <c r="O77" s="97"/>
      <c r="P77" s="97"/>
      <c r="Q77" s="98"/>
      <c r="S77" s="54"/>
    </row>
    <row r="78" spans="1:21" ht="30" customHeight="1" x14ac:dyDescent="0.3">
      <c r="A78" s="59"/>
      <c r="B78" s="38"/>
      <c r="C78" s="42"/>
      <c r="D78" s="43"/>
      <c r="E78" s="86"/>
      <c r="F78" s="86"/>
      <c r="G78" s="86"/>
      <c r="H78" s="86"/>
      <c r="I78" s="86"/>
      <c r="J78" s="86"/>
      <c r="K78" s="86"/>
      <c r="L78" s="44"/>
      <c r="N78" s="96"/>
      <c r="O78" s="97"/>
      <c r="P78" s="97"/>
      <c r="Q78" s="98"/>
      <c r="S78" s="54"/>
    </row>
    <row r="79" spans="1:21" ht="30" customHeight="1" x14ac:dyDescent="0.3">
      <c r="A79" s="59"/>
      <c r="B79" s="38"/>
      <c r="C79" s="42"/>
      <c r="D79" s="43"/>
      <c r="E79" s="86"/>
      <c r="F79" s="86"/>
      <c r="G79" s="86"/>
      <c r="H79" s="86"/>
      <c r="I79" s="86"/>
      <c r="J79" s="86"/>
      <c r="K79" s="86"/>
      <c r="L79" s="45"/>
      <c r="N79" s="96"/>
      <c r="O79" s="97"/>
      <c r="P79" s="97"/>
      <c r="Q79" s="98"/>
      <c r="S79" s="54"/>
    </row>
    <row r="80" spans="1:21" ht="30" customHeight="1" x14ac:dyDescent="0.3">
      <c r="A80" s="59"/>
      <c r="B80" s="38"/>
      <c r="C80" s="42"/>
      <c r="D80" s="43"/>
      <c r="E80" s="86"/>
      <c r="F80" s="86"/>
      <c r="G80" s="86"/>
      <c r="H80" s="86"/>
      <c r="I80" s="86"/>
      <c r="J80" s="86"/>
      <c r="K80" s="86"/>
      <c r="L80" s="46"/>
      <c r="N80" s="96"/>
      <c r="O80" s="97"/>
      <c r="P80" s="97"/>
      <c r="Q80" s="98"/>
      <c r="S80" s="54"/>
    </row>
    <row r="81" spans="1:19" ht="30" customHeight="1" x14ac:dyDescent="0.3">
      <c r="A81" s="59"/>
      <c r="B81" s="38"/>
      <c r="C81" s="42"/>
      <c r="D81" s="43"/>
      <c r="E81" s="86"/>
      <c r="F81" s="86"/>
      <c r="G81" s="86"/>
      <c r="H81" s="86"/>
      <c r="I81" s="86"/>
      <c r="J81" s="86"/>
      <c r="K81" s="86"/>
      <c r="L81" s="46"/>
      <c r="N81" s="96"/>
      <c r="O81" s="97"/>
      <c r="P81" s="97"/>
      <c r="Q81" s="98"/>
      <c r="S81" s="54"/>
    </row>
    <row r="82" spans="1:19" ht="30" customHeight="1" thickBot="1" x14ac:dyDescent="0.35">
      <c r="A82" s="59"/>
      <c r="B82" s="38"/>
      <c r="C82" s="47"/>
      <c r="D82" s="48"/>
      <c r="E82" s="87"/>
      <c r="F82" s="87"/>
      <c r="G82" s="87"/>
      <c r="H82" s="87"/>
      <c r="I82" s="87"/>
      <c r="J82" s="87"/>
      <c r="K82" s="87"/>
      <c r="L82" s="49"/>
      <c r="N82" s="96"/>
      <c r="O82" s="97"/>
      <c r="P82" s="97"/>
      <c r="Q82" s="98"/>
      <c r="S82" s="54"/>
    </row>
    <row r="83" spans="1:19" ht="30" customHeight="1" thickTop="1" x14ac:dyDescent="0.3">
      <c r="A83" s="59"/>
      <c r="B83" s="38"/>
      <c r="C83" s="38"/>
      <c r="D83" s="63"/>
      <c r="E83" s="63"/>
      <c r="F83" s="63"/>
      <c r="G83" s="63"/>
      <c r="H83" s="63"/>
      <c r="I83" s="63"/>
      <c r="J83" s="63"/>
      <c r="K83" s="63"/>
      <c r="L83" s="63"/>
      <c r="N83" s="64"/>
      <c r="O83" s="64"/>
      <c r="P83" s="62"/>
      <c r="Q83" s="65"/>
      <c r="S83" s="54"/>
    </row>
    <row r="84" spans="1:19" ht="30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6"/>
      <c r="O84" s="56"/>
      <c r="P84" s="54"/>
      <c r="Q84" s="57"/>
      <c r="R84" s="54"/>
      <c r="S84" s="54"/>
    </row>
  </sheetData>
  <sheetProtection sheet="1" objects="1" scenarios="1" selectLockedCells="1"/>
  <dataConsolidate/>
  <mergeCells count="106">
    <mergeCell ref="C15:D16"/>
    <mergeCell ref="C29:D30"/>
    <mergeCell ref="C43:D44"/>
    <mergeCell ref="C57:D58"/>
    <mergeCell ref="C71:D72"/>
    <mergeCell ref="N39:Q39"/>
    <mergeCell ref="N40:Q40"/>
    <mergeCell ref="N15:Q15"/>
    <mergeCell ref="N16:Q16"/>
    <mergeCell ref="N17:Q17"/>
    <mergeCell ref="N18:Q18"/>
    <mergeCell ref="N19:Q19"/>
    <mergeCell ref="N20:Q20"/>
    <mergeCell ref="N21:Q21"/>
    <mergeCell ref="N22:Q22"/>
    <mergeCell ref="N23:Q23"/>
    <mergeCell ref="N24:Q24"/>
    <mergeCell ref="N25:Q25"/>
    <mergeCell ref="N26:Q26"/>
    <mergeCell ref="N34:Q34"/>
    <mergeCell ref="N35:Q35"/>
    <mergeCell ref="N36:Q36"/>
    <mergeCell ref="N37:Q37"/>
    <mergeCell ref="N38:Q38"/>
    <mergeCell ref="N74:Q74"/>
    <mergeCell ref="N29:Q29"/>
    <mergeCell ref="N30:Q30"/>
    <mergeCell ref="N31:Q31"/>
    <mergeCell ref="N32:Q32"/>
    <mergeCell ref="N33:Q33"/>
    <mergeCell ref="N50:Q50"/>
    <mergeCell ref="N51:Q51"/>
    <mergeCell ref="N52:Q52"/>
    <mergeCell ref="N53:Q53"/>
    <mergeCell ref="J71:J72"/>
    <mergeCell ref="N54:Q54"/>
    <mergeCell ref="N81:Q81"/>
    <mergeCell ref="N82:Q82"/>
    <mergeCell ref="N57:Q57"/>
    <mergeCell ref="N58:Q58"/>
    <mergeCell ref="N59:Q59"/>
    <mergeCell ref="N60:Q60"/>
    <mergeCell ref="N61:Q61"/>
    <mergeCell ref="N62:Q62"/>
    <mergeCell ref="N63:Q63"/>
    <mergeCell ref="N64:Q64"/>
    <mergeCell ref="N65:Q65"/>
    <mergeCell ref="N66:Q66"/>
    <mergeCell ref="N67:Q67"/>
    <mergeCell ref="N68:Q68"/>
    <mergeCell ref="N76:Q76"/>
    <mergeCell ref="N77:Q77"/>
    <mergeCell ref="N78:Q78"/>
    <mergeCell ref="N79:Q79"/>
    <mergeCell ref="N80:Q80"/>
    <mergeCell ref="N71:Q71"/>
    <mergeCell ref="N72:Q72"/>
    <mergeCell ref="N73:Q73"/>
    <mergeCell ref="I43:I44"/>
    <mergeCell ref="N75:Q75"/>
    <mergeCell ref="N70:P70"/>
    <mergeCell ref="E43:E44"/>
    <mergeCell ref="F43:F44"/>
    <mergeCell ref="G43:G44"/>
    <mergeCell ref="H43:H44"/>
    <mergeCell ref="E57:E58"/>
    <mergeCell ref="F57:F58"/>
    <mergeCell ref="G57:G58"/>
    <mergeCell ref="H57:H58"/>
    <mergeCell ref="I57:I58"/>
    <mergeCell ref="J57:J58"/>
    <mergeCell ref="K57:K58"/>
    <mergeCell ref="N43:Q43"/>
    <mergeCell ref="N44:Q44"/>
    <mergeCell ref="N45:Q45"/>
    <mergeCell ref="N46:Q46"/>
    <mergeCell ref="K71:K72"/>
    <mergeCell ref="E71:E72"/>
    <mergeCell ref="F71:F72"/>
    <mergeCell ref="G71:G72"/>
    <mergeCell ref="H71:H72"/>
    <mergeCell ref="I71:I72"/>
    <mergeCell ref="J43:J44"/>
    <mergeCell ref="D5:D6"/>
    <mergeCell ref="N14:P14"/>
    <mergeCell ref="N28:P28"/>
    <mergeCell ref="N42:P42"/>
    <mergeCell ref="N56:P56"/>
    <mergeCell ref="K43:K44"/>
    <mergeCell ref="K15:K16"/>
    <mergeCell ref="E15:E16"/>
    <mergeCell ref="F15:F16"/>
    <mergeCell ref="G15:G16"/>
    <mergeCell ref="H15:H16"/>
    <mergeCell ref="I15:I16"/>
    <mergeCell ref="J15:J16"/>
    <mergeCell ref="N47:Q47"/>
    <mergeCell ref="N48:Q48"/>
    <mergeCell ref="N49:Q49"/>
    <mergeCell ref="E29:E30"/>
    <mergeCell ref="F29:F30"/>
    <mergeCell ref="G29:G30"/>
    <mergeCell ref="H29:H30"/>
    <mergeCell ref="I29:I30"/>
    <mergeCell ref="J29:J30"/>
    <mergeCell ref="K29:K30"/>
  </mergeCells>
  <conditionalFormatting sqref="D17:K25">
    <cfRule type="expression" dxfId="80" priority="5">
      <formula>D17&lt;&gt;""</formula>
    </cfRule>
  </conditionalFormatting>
  <conditionalFormatting sqref="D26:K27">
    <cfRule type="expression" dxfId="79" priority="15">
      <formula>COLUMN(#REF!)&gt;2</formula>
    </cfRule>
  </conditionalFormatting>
  <conditionalFormatting sqref="D31:K39">
    <cfRule type="expression" dxfId="78" priority="4">
      <formula>D31&lt;&gt;""</formula>
    </cfRule>
  </conditionalFormatting>
  <conditionalFormatting sqref="D40:K41">
    <cfRule type="expression" dxfId="77" priority="13">
      <formula>COLUMN(#REF!)&gt;2</formula>
    </cfRule>
  </conditionalFormatting>
  <conditionalFormatting sqref="D45:K53">
    <cfRule type="expression" dxfId="76" priority="3">
      <formula>D45&lt;&gt;""</formula>
    </cfRule>
  </conditionalFormatting>
  <conditionalFormatting sqref="D54:K55">
    <cfRule type="expression" dxfId="75" priority="11">
      <formula>COLUMN(#REF!)&gt;2</formula>
    </cfRule>
  </conditionalFormatting>
  <conditionalFormatting sqref="D59:K67">
    <cfRule type="expression" dxfId="74" priority="2">
      <formula>D59&lt;&gt;""</formula>
    </cfRule>
  </conditionalFormatting>
  <conditionalFormatting sqref="D68:K69">
    <cfRule type="expression" dxfId="73" priority="9">
      <formula>COLUMN(#REF!)&gt;2</formula>
    </cfRule>
  </conditionalFormatting>
  <conditionalFormatting sqref="D73:K81">
    <cfRule type="expression" dxfId="72" priority="1">
      <formula>D73&lt;&gt;""</formula>
    </cfRule>
  </conditionalFormatting>
  <conditionalFormatting sqref="D82:K83">
    <cfRule type="expression" dxfId="71" priority="7">
      <formula>COLUMN(#REF!)&gt;2</formula>
    </cfRule>
  </conditionalFormatting>
  <conditionalFormatting sqref="E5:J5">
    <cfRule type="expression" dxfId="70" priority="18" stopIfTrue="1">
      <formula>DAY(E5)&gt;8</formula>
    </cfRule>
  </conditionalFormatting>
  <conditionalFormatting sqref="E4:K10">
    <cfRule type="timePeriod" dxfId="69" priority="16" timePeriod="thisWeek">
      <formula>AND(TODAY()-ROUNDDOWN(E4,0)&lt;=WEEKDAY(TODAY())-1,ROUNDDOWN(E4,0)-TODAY()&lt;=7-WEEKDAY(TODAY()))</formula>
    </cfRule>
  </conditionalFormatting>
  <conditionalFormatting sqref="E5:K10">
    <cfRule type="expression" dxfId="68" priority="19">
      <formula>VLOOKUP(DAY(E5),$O:$O,1,FALSE)=DAY(E5)</formula>
    </cfRule>
  </conditionalFormatting>
  <conditionalFormatting sqref="E9:K10">
    <cfRule type="expression" dxfId="67" priority="17" stopIfTrue="1">
      <formula>AND(DAY(E9)&gt;=1,DAY(E9)&lt;=15)</formula>
    </cfRule>
  </conditionalFormatting>
  <conditionalFormatting sqref="E56:K56 E70:K70">
    <cfRule type="expression" dxfId="66" priority="40">
      <formula>COLUMN(#REF!)&gt;2</formula>
    </cfRule>
  </conditionalFormatting>
  <conditionalFormatting sqref="M6:M11">
    <cfRule type="expression" dxfId="65" priority="39">
      <formula>VLOOKUP(DAY(M6),AssignmentDays,1,FALSE)=DAY(M6)</formula>
    </cfRule>
  </conditionalFormatting>
  <conditionalFormatting sqref="M10:M11">
    <cfRule type="expression" dxfId="64" priority="38" stopIfTrue="1">
      <formula>AND(DAY(M10)&gt;=1,DAY(M10)&lt;=15)</formula>
    </cfRule>
  </conditionalFormatting>
  <conditionalFormatting sqref="R72 T72:U72">
    <cfRule type="expression" dxfId="63" priority="28" stopIfTrue="1">
      <formula>AND(DAY(R72)&gt;=1,DAY(R72)&lt;=15)</formula>
    </cfRule>
    <cfRule type="expression" dxfId="62" priority="37">
      <formula>VLOOKUP(DAY(R72),$O:$O,1,FALSE)=DAY(R72)</formula>
    </cfRule>
  </conditionalFormatting>
  <dataValidations count="10">
    <dataValidation allowBlank="1" showInputMessage="1" showErrorMessage="1" prompt="If this row contains a number less than the previous number or row of numbers, then this row contains dates for the next calendar month" sqref="E10" xr:uid="{4A3CFFEF-6849-4A45-8BB7-39380A68F08E}"/>
    <dataValidation allowBlank="1" showInputMessage="1" showErrorMessage="1" prompt="Weekdays are in this row, from Monday to Friday" sqref="C57 C43 C15 E15:K15 E29:K29 C29 C71" xr:uid="{4B091CEA-1D6C-4FB9-B988-07B0D1975DFB}"/>
    <dataValidation allowBlank="1" showInputMessage="1" showErrorMessage="1" prompt="Day of the week goes in this row, starting in cell D16" sqref="A29 A15" xr:uid="{987F0510-2BDF-4235-9D66-592BCC4741A3}"/>
    <dataValidation allowBlank="1" showInputMessage="1" showErrorMessage="1" prompt="Calendar year is automatically updated in this cell. To change the calendar year, to go cell D5 in Jan worksheet." sqref="D5:D6" xr:uid="{25708275-AD4B-4388-BE31-6991B7DC5C37}"/>
    <dataValidation allowBlank="1" showInputMessage="1" showErrorMessage="1" prompt="Calendar automatically highlights assignment list entries for the month. Darker fonts are assignments. Lighter fonts are days that belong to the previous or next month" sqref="D4" xr:uid="{1F096C31-9300-4C6C-97CA-5A52492EBD1A}"/>
    <dataValidation allowBlank="1" showInputMessage="1" showErrorMessage="1" prompt="Enter the assignment details in this column that correspond to the weekday in column N and day in column O for the calendar month at left" sqref="N4" xr:uid="{CD6AF8A5-B4AC-48A0-8F14-923E2C8CF17A}"/>
    <dataValidation allowBlank="1" showInputMessage="1" showErrorMessage="1" prompt="If this cell doesn’t contain the number 1, then it is a day from a previous month. Cells E5:K10 contain dates for the current month" sqref="E5" xr:uid="{C16213E9-EE4B-4251-96B9-EF8A758BD5A0}"/>
    <dataValidation allowBlank="1" showInputMessage="1" showErrorMessage="1" prompt="Cells E4:K4 contain weekdays" sqref="E4" xr:uid="{1ED071FE-EDD2-434D-987E-81C29352A883}"/>
    <dataValidation allowBlank="1" showInputMessage="1" showErrorMessage="1" prompt="March calendar. Calendar year is automatically updated based on cell D5 in Jan sheet." sqref="A1" xr:uid="{25B8CAF5-9099-4F0C-BB93-76DA1A56440C}"/>
    <dataValidation allowBlank="1" showInputMessage="1" showErrorMessage="1" prompt="Enter the time of your class and under it, in a new row, the class name for each weekday in columns D to K. Repeat this pattern for all classes in subsequent rows" sqref="D13" xr:uid="{4DAF32A2-082F-4AA8-AEFB-82714D947277}"/>
  </dataValidations>
  <printOptions horizontalCentered="1" verticalCentered="1"/>
  <pageMargins left="0.25" right="0.25" top="0.5" bottom="0.5" header="0.3" footer="0.3"/>
  <pageSetup scale="21" orientation="landscape" r:id="rId1"/>
  <rowBreaks count="1" manualBreakCount="1">
    <brk id="1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C739-F268-4263-BAC5-522F22D53406}">
  <sheetPr>
    <tabColor theme="6" tint="0.39997558519241921"/>
    <pageSetUpPr fitToPage="1"/>
  </sheetPr>
  <dimension ref="A1:U84"/>
  <sheetViews>
    <sheetView showGridLines="0" topLeftCell="A5" zoomScale="59" zoomScaleNormal="100" zoomScalePageLayoutView="84" workbookViewId="0">
      <selection activeCell="N15" sqref="N15:Q15"/>
    </sheetView>
  </sheetViews>
  <sheetFormatPr defaultColWidth="8.59765625" defaultRowHeight="30" customHeight="1" x14ac:dyDescent="0.25"/>
  <cols>
    <col min="1" max="2" width="5.59765625" customWidth="1"/>
    <col min="3" max="3" width="2.59765625" customWidth="1"/>
    <col min="4" max="4" width="19.5" customWidth="1"/>
    <col min="5" max="11" width="24.59765625" customWidth="1"/>
    <col min="12" max="12" width="2.59765625" customWidth="1"/>
    <col min="13" max="13" width="5.59765625" style="11" customWidth="1"/>
    <col min="14" max="14" width="12.59765625" style="50" customWidth="1"/>
    <col min="15" max="15" width="5.59765625" style="50" customWidth="1"/>
    <col min="16" max="16" width="2.59765625" customWidth="1"/>
    <col min="17" max="17" width="70.59765625" style="12" customWidth="1"/>
    <col min="18" max="19" width="5.59765625" customWidth="1"/>
  </cols>
  <sheetData>
    <row r="1" spans="1:19" ht="30" customHeight="1" x14ac:dyDescent="0.25">
      <c r="A1" s="54"/>
      <c r="B1" s="54"/>
      <c r="C1" s="54"/>
      <c r="D1" s="55"/>
      <c r="E1" s="54"/>
      <c r="F1" s="54"/>
      <c r="G1" s="54"/>
      <c r="H1" s="54"/>
      <c r="I1" s="54"/>
      <c r="J1" s="54"/>
      <c r="K1" s="54"/>
      <c r="L1" s="54"/>
      <c r="M1" s="60"/>
      <c r="N1" s="56"/>
      <c r="O1" s="56"/>
      <c r="P1" s="54"/>
      <c r="Q1" s="57"/>
      <c r="R1" s="54"/>
      <c r="S1" s="54"/>
    </row>
    <row r="2" spans="1:19" ht="30" customHeight="1" thickBot="1" x14ac:dyDescent="0.3">
      <c r="A2" s="54"/>
      <c r="D2" s="10"/>
      <c r="E2" s="10"/>
      <c r="F2" s="10"/>
      <c r="G2" s="10"/>
      <c r="H2" s="10"/>
      <c r="I2" s="10"/>
      <c r="J2" s="10"/>
      <c r="K2" s="10"/>
      <c r="N2"/>
      <c r="O2"/>
      <c r="S2" s="54"/>
    </row>
    <row r="3" spans="1:19" ht="30" customHeight="1" thickTop="1" x14ac:dyDescent="0.3">
      <c r="A3" s="54"/>
      <c r="C3" s="14"/>
      <c r="D3" s="15"/>
      <c r="E3" s="15"/>
      <c r="F3" s="15"/>
      <c r="G3" s="15"/>
      <c r="H3" s="15"/>
      <c r="I3" s="15"/>
      <c r="J3" s="15"/>
      <c r="K3" s="15"/>
      <c r="L3" s="16"/>
      <c r="N3" s="68"/>
      <c r="O3" s="64"/>
      <c r="P3" s="69"/>
      <c r="Q3" s="70"/>
      <c r="S3" s="54"/>
    </row>
    <row r="4" spans="1:19" ht="35.1" customHeight="1" x14ac:dyDescent="0.25">
      <c r="A4" s="54"/>
      <c r="C4" s="17"/>
      <c r="D4" s="1" t="s">
        <v>17</v>
      </c>
      <c r="E4" s="18" t="s">
        <v>1</v>
      </c>
      <c r="F4" s="18" t="s">
        <v>2</v>
      </c>
      <c r="G4" s="18" t="s">
        <v>3</v>
      </c>
      <c r="H4" s="18" t="s">
        <v>4</v>
      </c>
      <c r="I4" s="18" t="s">
        <v>5</v>
      </c>
      <c r="J4" s="18" t="s">
        <v>6</v>
      </c>
      <c r="K4" s="18" t="s">
        <v>7</v>
      </c>
      <c r="L4" s="19"/>
      <c r="N4" s="71"/>
      <c r="O4" s="69"/>
      <c r="P4" s="69"/>
      <c r="Q4" s="72"/>
      <c r="S4" s="54"/>
    </row>
    <row r="5" spans="1:19" ht="30" customHeight="1" x14ac:dyDescent="0.3">
      <c r="A5" s="58"/>
      <c r="B5" s="21"/>
      <c r="C5" s="22"/>
      <c r="D5" s="94">
        <f ca="1">CalendarYear</f>
        <v>2026</v>
      </c>
      <c r="E5" s="3">
        <f ca="1">IF(DAY(OctSun1)=1,OctSun1-6,OctSun1+1)</f>
        <v>46293</v>
      </c>
      <c r="F5" s="3">
        <f ca="1">IF(DAY(OctSun1)=1,OctSun1-5,OctSun1+2)</f>
        <v>46294</v>
      </c>
      <c r="G5" s="3">
        <f ca="1">IF(DAY(OctSun1)=1,OctSun1-4,OctSun1+3)</f>
        <v>46295</v>
      </c>
      <c r="H5" s="3">
        <f ca="1">IF(DAY(OctSun1)=1,OctSun1-3,OctSun1+4)</f>
        <v>46296</v>
      </c>
      <c r="I5" s="3">
        <f ca="1">IF(DAY(OctSun1)=1,OctSun1-2,OctSun1+5)</f>
        <v>46297</v>
      </c>
      <c r="J5" s="3">
        <f ca="1">IF(DAY(OctSun1)=1,OctSun1-1,OctSun1+6)</f>
        <v>46298</v>
      </c>
      <c r="K5" s="3">
        <f ca="1">IF(DAY(OctSun1)=1,OctSun1,OctSun1+7)</f>
        <v>46299</v>
      </c>
      <c r="L5" s="24"/>
      <c r="M5" s="25"/>
      <c r="N5" s="68"/>
      <c r="O5" s="69"/>
      <c r="P5" s="69"/>
      <c r="Q5" s="70"/>
      <c r="S5" s="54"/>
    </row>
    <row r="6" spans="1:19" ht="30" customHeight="1" x14ac:dyDescent="0.3">
      <c r="A6" s="58"/>
      <c r="B6" s="21"/>
      <c r="C6" s="22"/>
      <c r="D6" s="94"/>
      <c r="E6" s="3">
        <f ca="1">IF(DAY(OctSun1)=1,OctSun1+1,OctSun1+8)</f>
        <v>46300</v>
      </c>
      <c r="F6" s="3">
        <f ca="1">IF(DAY(OctSun1)=1,OctSun1+2,OctSun1+9)</f>
        <v>46301</v>
      </c>
      <c r="G6" s="3">
        <f ca="1">IF(DAY(OctSun1)=1,OctSun1+3,OctSun1+10)</f>
        <v>46302</v>
      </c>
      <c r="H6" s="3">
        <f ca="1">IF(DAY(OctSun1)=1,OctSun1+4,OctSun1+11)</f>
        <v>46303</v>
      </c>
      <c r="I6" s="3">
        <f ca="1">IF(DAY(OctSun1)=1,OctSun1+5,OctSun1+12)</f>
        <v>46304</v>
      </c>
      <c r="J6" s="3">
        <f ca="1">IF(DAY(OctSun1)=1,OctSun1+6,OctSun1+13)</f>
        <v>46305</v>
      </c>
      <c r="K6" s="3">
        <f ca="1">IF(DAY(OctSun1)=1,OctSun1+7,OctSun1+14)</f>
        <v>46306</v>
      </c>
      <c r="L6" s="24"/>
      <c r="M6" s="26"/>
      <c r="N6" s="73"/>
      <c r="O6" s="74"/>
      <c r="P6" s="74"/>
      <c r="Q6" s="70"/>
      <c r="S6" s="54"/>
    </row>
    <row r="7" spans="1:19" ht="30" customHeight="1" x14ac:dyDescent="0.25">
      <c r="A7" s="58"/>
      <c r="B7" s="21"/>
      <c r="C7" s="22"/>
      <c r="D7" s="27"/>
      <c r="E7" s="3">
        <f ca="1">IF(DAY(OctSun1)=1,OctSun1+8,OctSun1+15)</f>
        <v>46307</v>
      </c>
      <c r="F7" s="3">
        <f ca="1">IF(DAY(OctSun1)=1,OctSun1+9,OctSun1+16)</f>
        <v>46308</v>
      </c>
      <c r="G7" s="3">
        <f ca="1">IF(DAY(OctSun1)=1,OctSun1+10,OctSun1+17)</f>
        <v>46309</v>
      </c>
      <c r="H7" s="3">
        <f ca="1">IF(DAY(OctSun1)=1,OctSun1+11,OctSun1+18)</f>
        <v>46310</v>
      </c>
      <c r="I7" s="3">
        <f ca="1">IF(DAY(OctSun1)=1,OctSun1+12,OctSun1+19)</f>
        <v>46311</v>
      </c>
      <c r="J7" s="3">
        <f ca="1">IF(DAY(OctSun1)=1,OctSun1+13,OctSun1+20)</f>
        <v>46312</v>
      </c>
      <c r="K7" s="3">
        <f ca="1">IF(DAY(OctSun1)=1,OctSun1+14,OctSun1+21)</f>
        <v>46313</v>
      </c>
      <c r="L7" s="24"/>
      <c r="M7" s="26"/>
      <c r="N7" s="75"/>
      <c r="O7" s="76"/>
      <c r="P7" s="76"/>
      <c r="Q7" s="70"/>
      <c r="S7" s="54"/>
    </row>
    <row r="8" spans="1:19" ht="30" customHeight="1" x14ac:dyDescent="0.3">
      <c r="A8" s="58"/>
      <c r="B8" s="21"/>
      <c r="C8" s="22"/>
      <c r="D8" s="27"/>
      <c r="E8" s="3">
        <f ca="1">IF(DAY(OctSun1)=1,OctSun1+15,OctSun1+22)</f>
        <v>46314</v>
      </c>
      <c r="F8" s="3">
        <f ca="1">IF(DAY(OctSun1)=1,OctSun1+16,OctSun1+23)</f>
        <v>46315</v>
      </c>
      <c r="G8" s="3">
        <f ca="1">IF(DAY(OctSun1)=1,OctSun1+17,OctSun1+24)</f>
        <v>46316</v>
      </c>
      <c r="H8" s="3">
        <f ca="1">IF(DAY(OctSun1)=1,OctSun1+18,OctSun1+25)</f>
        <v>46317</v>
      </c>
      <c r="I8" s="3">
        <f ca="1">IF(DAY(OctSun1)=1,OctSun1+19,OctSun1+26)</f>
        <v>46318</v>
      </c>
      <c r="J8" s="3">
        <f ca="1">IF(DAY(OctSun1)=1,OctSun1+20,OctSun1+27)</f>
        <v>46319</v>
      </c>
      <c r="K8" s="3">
        <f ca="1">IF(DAY(OctSun1)=1,OctSun1+21,OctSun1+28)</f>
        <v>46320</v>
      </c>
      <c r="L8" s="24"/>
      <c r="M8" s="26"/>
      <c r="N8" s="77"/>
      <c r="O8" s="62"/>
      <c r="P8" s="62"/>
      <c r="Q8" s="70"/>
      <c r="S8" s="54"/>
    </row>
    <row r="9" spans="1:19" ht="30" customHeight="1" x14ac:dyDescent="0.3">
      <c r="A9" s="58"/>
      <c r="B9" s="21"/>
      <c r="C9" s="22"/>
      <c r="D9" s="27"/>
      <c r="E9" s="3">
        <f ca="1">IF(DAY(OctSun1)=1,OctSun1+22,OctSun1+29)</f>
        <v>46321</v>
      </c>
      <c r="F9" s="3">
        <f ca="1">IF(DAY(OctSun1)=1,OctSun1+23,OctSun1+30)</f>
        <v>46322</v>
      </c>
      <c r="G9" s="3">
        <f ca="1">IF(DAY(OctSun1)=1,OctSun1+24,OctSun1+31)</f>
        <v>46323</v>
      </c>
      <c r="H9" s="3">
        <f ca="1">IF(DAY(OctSun1)=1,OctSun1+25,OctSun1+32)</f>
        <v>46324</v>
      </c>
      <c r="I9" s="3">
        <f ca="1">IF(DAY(OctSun1)=1,OctSun1+26,OctSun1+33)</f>
        <v>46325</v>
      </c>
      <c r="J9" s="3">
        <f ca="1">IF(DAY(OctSun1)=1,OctSun1+27,OctSun1+34)</f>
        <v>46326</v>
      </c>
      <c r="K9" s="3">
        <f ca="1">IF(DAY(OctSun1)=1,OctSun1+28,OctSun1+35)</f>
        <v>46327</v>
      </c>
      <c r="L9" s="24"/>
      <c r="M9" s="26"/>
      <c r="N9" s="77"/>
      <c r="O9" s="62"/>
      <c r="P9" s="62"/>
      <c r="Q9" s="70"/>
      <c r="S9" s="54"/>
    </row>
    <row r="10" spans="1:19" ht="30" customHeight="1" x14ac:dyDescent="0.3">
      <c r="A10" s="58"/>
      <c r="B10" s="21"/>
      <c r="C10" s="22"/>
      <c r="D10" s="27"/>
      <c r="E10" s="3">
        <f ca="1">IF(DAY(OctSun1)=1,OctSun1+29,OctSun1+36)</f>
        <v>46328</v>
      </c>
      <c r="F10" s="3">
        <f ca="1">IF(DAY(OctSun1)=1,OctSun1+30,OctSun1+37)</f>
        <v>46329</v>
      </c>
      <c r="G10" s="3">
        <f ca="1">IF(DAY(OctSun1)=1,OctSun1+31,OctSun1+38)</f>
        <v>46330</v>
      </c>
      <c r="H10" s="3">
        <f ca="1">IF(DAY(OctSun1)=1,OctSun1+32,OctSun1+39)</f>
        <v>46331</v>
      </c>
      <c r="I10" s="3">
        <f ca="1">IF(DAY(OctSun1)=1,OctSun1+33,OctSun1+40)</f>
        <v>46332</v>
      </c>
      <c r="J10" s="3">
        <f ca="1">IF(DAY(OctSun1)=1,OctSun1+34,OctSun1+41)</f>
        <v>46333</v>
      </c>
      <c r="K10" s="3">
        <f ca="1">IF(DAY(OctSun1)=1,OctSun1+35,OctSun1+42)</f>
        <v>46334</v>
      </c>
      <c r="L10" s="30"/>
      <c r="M10" s="26"/>
      <c r="N10" s="77"/>
      <c r="O10" s="62"/>
      <c r="P10" s="62"/>
      <c r="Q10" s="78"/>
      <c r="S10" s="54"/>
    </row>
    <row r="11" spans="1:19" ht="30" customHeight="1" thickBot="1" x14ac:dyDescent="0.35">
      <c r="A11" s="58"/>
      <c r="B11" s="21"/>
      <c r="C11" s="31"/>
      <c r="D11" s="10"/>
      <c r="E11" s="10"/>
      <c r="F11" s="10"/>
      <c r="G11" s="10"/>
      <c r="H11" s="10"/>
      <c r="I11" s="10"/>
      <c r="J11" s="10"/>
      <c r="K11" s="10"/>
      <c r="L11" s="32"/>
      <c r="M11" s="33"/>
      <c r="N11" s="77"/>
      <c r="O11" s="62"/>
      <c r="P11" s="62"/>
      <c r="Q11" s="78"/>
      <c r="S11" s="54"/>
    </row>
    <row r="12" spans="1:19" ht="30" customHeight="1" thickTop="1" x14ac:dyDescent="0.25">
      <c r="A12" s="58"/>
      <c r="B12" s="21"/>
      <c r="C12" s="21"/>
      <c r="D12" s="34"/>
      <c r="E12" s="15"/>
      <c r="F12" s="15"/>
      <c r="G12" s="15"/>
      <c r="H12" s="15"/>
      <c r="I12" s="15"/>
      <c r="J12" s="15"/>
      <c r="K12" s="15"/>
      <c r="N12" s="75"/>
      <c r="O12" s="76"/>
      <c r="P12" s="76"/>
      <c r="Q12" s="65"/>
      <c r="S12" s="54"/>
    </row>
    <row r="13" spans="1:19" ht="30" customHeight="1" x14ac:dyDescent="0.25">
      <c r="A13" s="58"/>
      <c r="B13" s="21"/>
      <c r="C13" s="21"/>
      <c r="D13" s="2" t="s">
        <v>8</v>
      </c>
      <c r="E13" s="35"/>
      <c r="F13" s="35"/>
      <c r="G13" s="35"/>
      <c r="H13" s="35"/>
      <c r="I13" s="35"/>
      <c r="J13" s="35"/>
      <c r="K13" s="35"/>
      <c r="N13" s="75"/>
      <c r="O13" s="76"/>
      <c r="P13" s="76"/>
      <c r="Q13" s="65"/>
      <c r="S13" s="58"/>
    </row>
    <row r="14" spans="1:19" ht="30" customHeight="1" thickBot="1" x14ac:dyDescent="0.45">
      <c r="A14" s="58"/>
      <c r="B14" s="21"/>
      <c r="C14" s="21"/>
      <c r="D14" s="84"/>
      <c r="E14" s="37"/>
      <c r="F14" s="37"/>
      <c r="G14" s="37"/>
      <c r="H14" s="37"/>
      <c r="I14" s="37"/>
      <c r="J14" s="37"/>
      <c r="K14" s="37"/>
      <c r="L14" s="37"/>
      <c r="M14" s="36"/>
      <c r="N14" s="95" t="s">
        <v>20</v>
      </c>
      <c r="O14" s="95"/>
      <c r="P14" s="95"/>
      <c r="Q14" s="65"/>
      <c r="S14" s="54"/>
    </row>
    <row r="15" spans="1:19" ht="30" customHeight="1" thickTop="1" x14ac:dyDescent="0.3">
      <c r="A15" s="59"/>
      <c r="B15" s="38"/>
      <c r="C15" s="88" t="s">
        <v>20</v>
      </c>
      <c r="D15" s="89"/>
      <c r="E15" s="92"/>
      <c r="F15" s="92"/>
      <c r="G15" s="92"/>
      <c r="H15" s="92" t="str">
        <f t="shared" ref="H15:K15" ca="1" si="0">TEXT(H5, "ddd dd/mm")</f>
        <v>Thu 01/10</v>
      </c>
      <c r="I15" s="92" t="str">
        <f t="shared" ca="1" si="0"/>
        <v>Fri 02/10</v>
      </c>
      <c r="J15" s="92" t="str">
        <f t="shared" ca="1" si="0"/>
        <v>Sat 03/10</v>
      </c>
      <c r="K15" s="92" t="str">
        <f t="shared" ca="1" si="0"/>
        <v>Sun 04/10</v>
      </c>
      <c r="L15" s="39"/>
      <c r="M15" s="40"/>
      <c r="N15" s="96"/>
      <c r="O15" s="97"/>
      <c r="P15" s="97"/>
      <c r="Q15" s="98"/>
      <c r="S15" s="54"/>
    </row>
    <row r="16" spans="1:19" ht="30" customHeight="1" x14ac:dyDescent="0.3">
      <c r="A16" s="59"/>
      <c r="B16" s="38"/>
      <c r="C16" s="90"/>
      <c r="D16" s="91"/>
      <c r="E16" s="93"/>
      <c r="F16" s="93"/>
      <c r="G16" s="93"/>
      <c r="H16" s="93"/>
      <c r="I16" s="93"/>
      <c r="J16" s="93"/>
      <c r="K16" s="93"/>
      <c r="L16" s="41"/>
      <c r="N16" s="96"/>
      <c r="O16" s="97"/>
      <c r="P16" s="97"/>
      <c r="Q16" s="98"/>
      <c r="S16" s="54"/>
    </row>
    <row r="17" spans="1:19" ht="30" customHeight="1" x14ac:dyDescent="0.3">
      <c r="A17" s="59"/>
      <c r="B17" s="38"/>
      <c r="C17" s="42"/>
      <c r="D17" s="43"/>
      <c r="E17" s="86"/>
      <c r="F17" s="86"/>
      <c r="G17" s="86"/>
      <c r="H17" s="86"/>
      <c r="I17" s="86"/>
      <c r="J17" s="86"/>
      <c r="K17" s="86"/>
      <c r="L17" s="66"/>
      <c r="M17" s="67"/>
      <c r="N17" s="96"/>
      <c r="O17" s="97"/>
      <c r="P17" s="97"/>
      <c r="Q17" s="98"/>
      <c r="S17" s="54"/>
    </row>
    <row r="18" spans="1:19" ht="30" customHeight="1" x14ac:dyDescent="0.3">
      <c r="A18" s="59"/>
      <c r="B18" s="38"/>
      <c r="C18" s="42"/>
      <c r="D18" s="43"/>
      <c r="E18" s="86"/>
      <c r="F18" s="86"/>
      <c r="G18" s="86"/>
      <c r="H18" s="86"/>
      <c r="I18" s="86"/>
      <c r="J18" s="86"/>
      <c r="K18" s="86"/>
      <c r="L18" s="44"/>
      <c r="N18" s="96"/>
      <c r="O18" s="97"/>
      <c r="P18" s="97"/>
      <c r="Q18" s="98"/>
      <c r="S18" s="54"/>
    </row>
    <row r="19" spans="1:19" ht="30" customHeight="1" x14ac:dyDescent="0.3">
      <c r="A19" s="59"/>
      <c r="B19" s="38"/>
      <c r="C19" s="42"/>
      <c r="D19" s="43"/>
      <c r="E19" s="86"/>
      <c r="F19" s="86"/>
      <c r="G19" s="86"/>
      <c r="H19" s="86"/>
      <c r="I19" s="86"/>
      <c r="J19" s="86"/>
      <c r="K19" s="86"/>
      <c r="L19" s="45"/>
      <c r="N19" s="96"/>
      <c r="O19" s="97"/>
      <c r="P19" s="97"/>
      <c r="Q19" s="98"/>
      <c r="S19" s="54"/>
    </row>
    <row r="20" spans="1:19" ht="30" customHeight="1" x14ac:dyDescent="0.3">
      <c r="A20" s="59"/>
      <c r="B20" s="38"/>
      <c r="C20" s="42"/>
      <c r="D20" s="43"/>
      <c r="E20" s="86"/>
      <c r="F20" s="86"/>
      <c r="G20" s="86"/>
      <c r="H20" s="86"/>
      <c r="I20" s="86"/>
      <c r="J20" s="86"/>
      <c r="K20" s="86"/>
      <c r="L20" s="44"/>
      <c r="N20" s="96"/>
      <c r="O20" s="97"/>
      <c r="P20" s="97"/>
      <c r="Q20" s="98"/>
      <c r="S20" s="54"/>
    </row>
    <row r="21" spans="1:19" ht="30" customHeight="1" x14ac:dyDescent="0.3">
      <c r="A21" s="59"/>
      <c r="B21" s="38"/>
      <c r="C21" s="42"/>
      <c r="D21" s="43"/>
      <c r="E21" s="86"/>
      <c r="F21" s="86"/>
      <c r="G21" s="86"/>
      <c r="H21" s="86"/>
      <c r="I21" s="86"/>
      <c r="J21" s="86"/>
      <c r="K21" s="86"/>
      <c r="L21" s="45"/>
      <c r="N21" s="96"/>
      <c r="O21" s="97"/>
      <c r="P21" s="97"/>
      <c r="Q21" s="98"/>
      <c r="S21" s="54"/>
    </row>
    <row r="22" spans="1:19" ht="30" customHeight="1" x14ac:dyDescent="0.3">
      <c r="A22" s="59"/>
      <c r="B22" s="38"/>
      <c r="C22" s="42"/>
      <c r="D22" s="43"/>
      <c r="E22" s="86"/>
      <c r="F22" s="86"/>
      <c r="G22" s="86"/>
      <c r="H22" s="86"/>
      <c r="I22" s="86"/>
      <c r="J22" s="86"/>
      <c r="K22" s="86"/>
      <c r="L22" s="44"/>
      <c r="N22" s="96"/>
      <c r="O22" s="97"/>
      <c r="P22" s="97"/>
      <c r="Q22" s="98"/>
      <c r="S22" s="54"/>
    </row>
    <row r="23" spans="1:19" ht="30" customHeight="1" x14ac:dyDescent="0.3">
      <c r="A23" s="59"/>
      <c r="B23" s="38"/>
      <c r="C23" s="42"/>
      <c r="D23" s="43"/>
      <c r="E23" s="86"/>
      <c r="F23" s="86"/>
      <c r="G23" s="86"/>
      <c r="H23" s="86"/>
      <c r="I23" s="86"/>
      <c r="J23" s="86"/>
      <c r="K23" s="86"/>
      <c r="L23" s="45"/>
      <c r="N23" s="96"/>
      <c r="O23" s="97"/>
      <c r="P23" s="97"/>
      <c r="Q23" s="98"/>
      <c r="S23" s="54"/>
    </row>
    <row r="24" spans="1:19" ht="30" customHeight="1" x14ac:dyDescent="0.3">
      <c r="A24" s="59"/>
      <c r="B24" s="38"/>
      <c r="C24" s="42"/>
      <c r="D24" s="43"/>
      <c r="E24" s="86"/>
      <c r="F24" s="86"/>
      <c r="G24" s="86"/>
      <c r="H24" s="86"/>
      <c r="I24" s="86"/>
      <c r="J24" s="86"/>
      <c r="K24" s="86"/>
      <c r="L24" s="46"/>
      <c r="N24" s="96"/>
      <c r="O24" s="97"/>
      <c r="P24" s="97"/>
      <c r="Q24" s="98"/>
      <c r="S24" s="54"/>
    </row>
    <row r="25" spans="1:19" ht="30" customHeight="1" x14ac:dyDescent="0.3">
      <c r="A25" s="59"/>
      <c r="B25" s="38"/>
      <c r="C25" s="42"/>
      <c r="D25" s="43"/>
      <c r="E25" s="86"/>
      <c r="F25" s="86"/>
      <c r="G25" s="86"/>
      <c r="H25" s="86"/>
      <c r="I25" s="86"/>
      <c r="J25" s="86"/>
      <c r="K25" s="86"/>
      <c r="L25" s="46"/>
      <c r="N25" s="96"/>
      <c r="O25" s="97"/>
      <c r="P25" s="97"/>
      <c r="Q25" s="98"/>
      <c r="S25" s="54"/>
    </row>
    <row r="26" spans="1:19" ht="30" customHeight="1" thickBot="1" x14ac:dyDescent="0.35">
      <c r="A26" s="59"/>
      <c r="B26" s="38"/>
      <c r="C26" s="47"/>
      <c r="D26" s="48"/>
      <c r="E26" s="87"/>
      <c r="F26" s="87"/>
      <c r="G26" s="87"/>
      <c r="H26" s="87"/>
      <c r="I26" s="87"/>
      <c r="J26" s="87"/>
      <c r="K26" s="87"/>
      <c r="L26" s="49"/>
      <c r="N26" s="96"/>
      <c r="O26" s="97"/>
      <c r="P26" s="97"/>
      <c r="Q26" s="98"/>
      <c r="S26" s="54"/>
    </row>
    <row r="27" spans="1:19" ht="30" customHeight="1" thickTop="1" x14ac:dyDescent="0.3">
      <c r="A27" s="59"/>
      <c r="B27" s="38"/>
      <c r="C27" s="38"/>
      <c r="D27" s="63"/>
      <c r="E27" s="63"/>
      <c r="F27" s="63"/>
      <c r="G27" s="63"/>
      <c r="H27" s="63"/>
      <c r="I27" s="63"/>
      <c r="J27" s="63"/>
      <c r="K27" s="63"/>
      <c r="L27" s="63"/>
      <c r="N27" s="64"/>
      <c r="O27" s="64"/>
      <c r="P27" s="62"/>
      <c r="Q27" s="65"/>
      <c r="S27" s="54"/>
    </row>
    <row r="28" spans="1:19" ht="30" customHeight="1" thickBot="1" x14ac:dyDescent="0.45">
      <c r="A28" s="58"/>
      <c r="B28" s="21"/>
      <c r="C28" s="21"/>
      <c r="D28" s="84"/>
      <c r="E28" s="37"/>
      <c r="F28" s="37"/>
      <c r="G28" s="37"/>
      <c r="H28" s="37"/>
      <c r="I28" s="37"/>
      <c r="J28" s="37"/>
      <c r="K28" s="37"/>
      <c r="L28" s="37"/>
      <c r="M28" s="36"/>
      <c r="N28" s="95" t="s">
        <v>21</v>
      </c>
      <c r="O28" s="95"/>
      <c r="P28" s="95"/>
      <c r="Q28" s="65"/>
      <c r="S28" s="54"/>
    </row>
    <row r="29" spans="1:19" ht="30" customHeight="1" thickTop="1" x14ac:dyDescent="0.3">
      <c r="A29" s="59"/>
      <c r="B29" s="38"/>
      <c r="C29" s="88" t="s">
        <v>21</v>
      </c>
      <c r="D29" s="89"/>
      <c r="E29" s="92" t="str">
        <f ca="1">TEXT(E6, "ddd dd/mm")</f>
        <v>Mon 05/10</v>
      </c>
      <c r="F29" s="92" t="str">
        <f t="shared" ref="F29:J29" ca="1" si="1">TEXT(F6, "ddd dd/mm")</f>
        <v>Tue 06/10</v>
      </c>
      <c r="G29" s="92" t="str">
        <f t="shared" ca="1" si="1"/>
        <v>Wed 07/10</v>
      </c>
      <c r="H29" s="92" t="str">
        <f t="shared" ca="1" si="1"/>
        <v>Thu 08/10</v>
      </c>
      <c r="I29" s="92" t="str">
        <f t="shared" ca="1" si="1"/>
        <v>Fri 09/10</v>
      </c>
      <c r="J29" s="92" t="str">
        <f t="shared" ca="1" si="1"/>
        <v>Sat 10/10</v>
      </c>
      <c r="K29" s="92" t="str">
        <f ca="1">TEXT(K6, "ddd dd/mm")</f>
        <v>Sun 11/10</v>
      </c>
      <c r="L29" s="39"/>
      <c r="M29" s="40"/>
      <c r="N29" s="96"/>
      <c r="O29" s="97"/>
      <c r="P29" s="97"/>
      <c r="Q29" s="98"/>
      <c r="S29" s="54"/>
    </row>
    <row r="30" spans="1:19" ht="30" customHeight="1" x14ac:dyDescent="0.3">
      <c r="A30" s="59"/>
      <c r="B30" s="38"/>
      <c r="C30" s="90"/>
      <c r="D30" s="91"/>
      <c r="E30" s="93"/>
      <c r="F30" s="93"/>
      <c r="G30" s="93"/>
      <c r="H30" s="93"/>
      <c r="I30" s="93"/>
      <c r="J30" s="93"/>
      <c r="K30" s="93"/>
      <c r="L30" s="41"/>
      <c r="N30" s="96"/>
      <c r="O30" s="97"/>
      <c r="P30" s="97"/>
      <c r="Q30" s="98"/>
      <c r="S30" s="54"/>
    </row>
    <row r="31" spans="1:19" ht="30" customHeight="1" x14ac:dyDescent="0.3">
      <c r="A31" s="59"/>
      <c r="B31" s="38"/>
      <c r="C31" s="42"/>
      <c r="D31" s="43"/>
      <c r="E31" s="86"/>
      <c r="F31" s="86"/>
      <c r="G31" s="86"/>
      <c r="H31" s="86"/>
      <c r="I31" s="86"/>
      <c r="J31" s="86"/>
      <c r="K31" s="86"/>
      <c r="L31" s="66"/>
      <c r="M31" s="67"/>
      <c r="N31" s="96"/>
      <c r="O31" s="97"/>
      <c r="P31" s="97"/>
      <c r="Q31" s="98"/>
      <c r="S31" s="54"/>
    </row>
    <row r="32" spans="1:19" ht="30" customHeight="1" x14ac:dyDescent="0.3">
      <c r="A32" s="59"/>
      <c r="B32" s="38"/>
      <c r="C32" s="42"/>
      <c r="D32" s="43"/>
      <c r="E32" s="86"/>
      <c r="F32" s="86"/>
      <c r="G32" s="86"/>
      <c r="H32" s="86"/>
      <c r="I32" s="86"/>
      <c r="J32" s="86"/>
      <c r="K32" s="86"/>
      <c r="L32" s="44"/>
      <c r="N32" s="96"/>
      <c r="O32" s="97"/>
      <c r="P32" s="97"/>
      <c r="Q32" s="98"/>
      <c r="S32" s="54"/>
    </row>
    <row r="33" spans="1:19" ht="30" customHeight="1" x14ac:dyDescent="0.3">
      <c r="A33" s="59"/>
      <c r="B33" s="38"/>
      <c r="C33" s="42"/>
      <c r="D33" s="43"/>
      <c r="E33" s="86"/>
      <c r="F33" s="86"/>
      <c r="G33" s="86"/>
      <c r="H33" s="86"/>
      <c r="I33" s="86"/>
      <c r="J33" s="86"/>
      <c r="K33" s="86"/>
      <c r="L33" s="45"/>
      <c r="N33" s="96"/>
      <c r="O33" s="97"/>
      <c r="P33" s="97"/>
      <c r="Q33" s="98"/>
      <c r="S33" s="54"/>
    </row>
    <row r="34" spans="1:19" ht="30" customHeight="1" x14ac:dyDescent="0.3">
      <c r="A34" s="59"/>
      <c r="B34" s="38"/>
      <c r="C34" s="42"/>
      <c r="D34" s="43"/>
      <c r="E34" s="86"/>
      <c r="F34" s="86"/>
      <c r="G34" s="86"/>
      <c r="H34" s="86"/>
      <c r="I34" s="86"/>
      <c r="J34" s="86"/>
      <c r="K34" s="86"/>
      <c r="L34" s="44"/>
      <c r="N34" s="96"/>
      <c r="O34" s="97"/>
      <c r="P34" s="97"/>
      <c r="Q34" s="98"/>
      <c r="S34" s="54"/>
    </row>
    <row r="35" spans="1:19" ht="30" customHeight="1" x14ac:dyDescent="0.3">
      <c r="A35" s="59"/>
      <c r="B35" s="38"/>
      <c r="C35" s="42"/>
      <c r="D35" s="43"/>
      <c r="E35" s="86"/>
      <c r="F35" s="86"/>
      <c r="G35" s="86"/>
      <c r="H35" s="86"/>
      <c r="I35" s="86"/>
      <c r="J35" s="86"/>
      <c r="K35" s="86"/>
      <c r="L35" s="45"/>
      <c r="N35" s="96"/>
      <c r="O35" s="97"/>
      <c r="P35" s="97"/>
      <c r="Q35" s="98"/>
      <c r="S35" s="54"/>
    </row>
    <row r="36" spans="1:19" ht="30" customHeight="1" x14ac:dyDescent="0.3">
      <c r="A36" s="59"/>
      <c r="B36" s="38"/>
      <c r="C36" s="42"/>
      <c r="D36" s="43"/>
      <c r="E36" s="86"/>
      <c r="F36" s="86"/>
      <c r="G36" s="86"/>
      <c r="H36" s="86"/>
      <c r="I36" s="86"/>
      <c r="J36" s="86"/>
      <c r="K36" s="86"/>
      <c r="L36" s="44"/>
      <c r="N36" s="96"/>
      <c r="O36" s="97"/>
      <c r="P36" s="97"/>
      <c r="Q36" s="98"/>
      <c r="S36" s="54"/>
    </row>
    <row r="37" spans="1:19" ht="30" customHeight="1" x14ac:dyDescent="0.3">
      <c r="A37" s="59"/>
      <c r="B37" s="38"/>
      <c r="C37" s="42"/>
      <c r="D37" s="43"/>
      <c r="E37" s="86"/>
      <c r="F37" s="86"/>
      <c r="G37" s="86"/>
      <c r="H37" s="86"/>
      <c r="I37" s="86"/>
      <c r="J37" s="86"/>
      <c r="K37" s="86"/>
      <c r="L37" s="45"/>
      <c r="N37" s="96"/>
      <c r="O37" s="97"/>
      <c r="P37" s="97"/>
      <c r="Q37" s="98"/>
      <c r="S37" s="54"/>
    </row>
    <row r="38" spans="1:19" ht="30" customHeight="1" x14ac:dyDescent="0.3">
      <c r="A38" s="59"/>
      <c r="B38" s="38"/>
      <c r="C38" s="42"/>
      <c r="D38" s="43"/>
      <c r="E38" s="86"/>
      <c r="F38" s="86"/>
      <c r="G38" s="86"/>
      <c r="H38" s="86"/>
      <c r="I38" s="86"/>
      <c r="J38" s="86"/>
      <c r="K38" s="86"/>
      <c r="L38" s="46"/>
      <c r="N38" s="96"/>
      <c r="O38" s="97"/>
      <c r="P38" s="97"/>
      <c r="Q38" s="98"/>
      <c r="S38" s="54"/>
    </row>
    <row r="39" spans="1:19" ht="30" customHeight="1" x14ac:dyDescent="0.3">
      <c r="A39" s="59"/>
      <c r="B39" s="38"/>
      <c r="C39" s="42"/>
      <c r="D39" s="43"/>
      <c r="E39" s="86"/>
      <c r="F39" s="86"/>
      <c r="G39" s="86"/>
      <c r="H39" s="86"/>
      <c r="I39" s="86"/>
      <c r="J39" s="86"/>
      <c r="K39" s="86"/>
      <c r="L39" s="46"/>
      <c r="N39" s="96"/>
      <c r="O39" s="97"/>
      <c r="P39" s="97"/>
      <c r="Q39" s="98"/>
      <c r="S39" s="54"/>
    </row>
    <row r="40" spans="1:19" ht="30" customHeight="1" thickBot="1" x14ac:dyDescent="0.35">
      <c r="A40" s="59"/>
      <c r="B40" s="38"/>
      <c r="C40" s="47"/>
      <c r="D40" s="48"/>
      <c r="E40" s="87"/>
      <c r="F40" s="87"/>
      <c r="G40" s="87"/>
      <c r="H40" s="87"/>
      <c r="I40" s="87"/>
      <c r="J40" s="87"/>
      <c r="K40" s="87"/>
      <c r="L40" s="49"/>
      <c r="N40" s="96"/>
      <c r="O40" s="97"/>
      <c r="P40" s="97"/>
      <c r="Q40" s="98"/>
      <c r="S40" s="54"/>
    </row>
    <row r="41" spans="1:19" ht="30" customHeight="1" thickTop="1" x14ac:dyDescent="0.3">
      <c r="A41" s="59"/>
      <c r="B41" s="38"/>
      <c r="C41" s="38"/>
      <c r="D41" s="63"/>
      <c r="E41" s="63"/>
      <c r="F41" s="63"/>
      <c r="G41" s="63"/>
      <c r="H41" s="63"/>
      <c r="I41" s="63"/>
      <c r="J41" s="63"/>
      <c r="K41" s="63"/>
      <c r="L41" s="63"/>
      <c r="N41" s="64"/>
      <c r="O41" s="64"/>
      <c r="P41" s="62"/>
      <c r="Q41" s="65"/>
      <c r="S41" s="54"/>
    </row>
    <row r="42" spans="1:19" ht="30" customHeight="1" thickBot="1" x14ac:dyDescent="0.45">
      <c r="A42" s="59"/>
      <c r="B42" s="38"/>
      <c r="C42" s="38"/>
      <c r="D42" s="84"/>
      <c r="E42" s="37"/>
      <c r="F42" s="37"/>
      <c r="G42" s="37"/>
      <c r="H42" s="37"/>
      <c r="I42" s="37"/>
      <c r="J42" s="37"/>
      <c r="K42" s="37"/>
      <c r="L42" s="48"/>
      <c r="N42" s="95" t="s">
        <v>22</v>
      </c>
      <c r="O42" s="95"/>
      <c r="P42" s="95"/>
      <c r="Q42" s="65"/>
      <c r="S42" s="54"/>
    </row>
    <row r="43" spans="1:19" ht="30" customHeight="1" thickTop="1" x14ac:dyDescent="0.3">
      <c r="A43" s="59"/>
      <c r="B43" s="38"/>
      <c r="C43" s="88" t="s">
        <v>22</v>
      </c>
      <c r="D43" s="89"/>
      <c r="E43" s="92" t="str">
        <f ca="1">TEXT(E7, "ddd dd/mm")</f>
        <v>Mon 12/10</v>
      </c>
      <c r="F43" s="92" t="str">
        <f t="shared" ref="F43:K43" ca="1" si="2">TEXT(F7, "ddd dd/mm")</f>
        <v>Tue 13/10</v>
      </c>
      <c r="G43" s="92" t="str">
        <f t="shared" ca="1" si="2"/>
        <v>Wed 14/10</v>
      </c>
      <c r="H43" s="92" t="str">
        <f t="shared" ca="1" si="2"/>
        <v>Thu 15/10</v>
      </c>
      <c r="I43" s="92" t="str">
        <f t="shared" ca="1" si="2"/>
        <v>Fri 16/10</v>
      </c>
      <c r="J43" s="92" t="str">
        <f t="shared" ca="1" si="2"/>
        <v>Sat 17/10</v>
      </c>
      <c r="K43" s="92" t="str">
        <f t="shared" ca="1" si="2"/>
        <v>Sun 18/10</v>
      </c>
      <c r="L43" s="39"/>
      <c r="N43" s="96"/>
      <c r="O43" s="97"/>
      <c r="P43" s="97"/>
      <c r="Q43" s="98"/>
      <c r="S43" s="54"/>
    </row>
    <row r="44" spans="1:19" ht="30" customHeight="1" x14ac:dyDescent="0.3">
      <c r="A44" s="59"/>
      <c r="B44" s="38"/>
      <c r="C44" s="90"/>
      <c r="D44" s="91"/>
      <c r="E44" s="93"/>
      <c r="F44" s="93"/>
      <c r="G44" s="93"/>
      <c r="H44" s="93"/>
      <c r="I44" s="93"/>
      <c r="J44" s="93"/>
      <c r="K44" s="93"/>
      <c r="L44" s="41"/>
      <c r="N44" s="96"/>
      <c r="O44" s="97"/>
      <c r="P44" s="97"/>
      <c r="Q44" s="98"/>
      <c r="S44" s="54"/>
    </row>
    <row r="45" spans="1:19" ht="30" customHeight="1" x14ac:dyDescent="0.3">
      <c r="A45" s="59"/>
      <c r="B45" s="38"/>
      <c r="C45" s="42"/>
      <c r="D45" s="43"/>
      <c r="E45" s="86"/>
      <c r="F45" s="86"/>
      <c r="G45" s="86"/>
      <c r="H45" s="86"/>
      <c r="I45" s="86"/>
      <c r="J45" s="86"/>
      <c r="K45" s="86"/>
      <c r="L45" s="66"/>
      <c r="N45" s="96"/>
      <c r="O45" s="97"/>
      <c r="P45" s="97"/>
      <c r="Q45" s="98"/>
      <c r="S45" s="54"/>
    </row>
    <row r="46" spans="1:19" ht="30" customHeight="1" x14ac:dyDescent="0.3">
      <c r="A46" s="59"/>
      <c r="B46" s="38"/>
      <c r="C46" s="42"/>
      <c r="D46" s="43"/>
      <c r="E46" s="86"/>
      <c r="F46" s="86"/>
      <c r="G46" s="86"/>
      <c r="H46" s="86"/>
      <c r="I46" s="86"/>
      <c r="J46" s="86"/>
      <c r="K46" s="86"/>
      <c r="L46" s="44"/>
      <c r="N46" s="96"/>
      <c r="O46" s="97"/>
      <c r="P46" s="97"/>
      <c r="Q46" s="98"/>
      <c r="S46" s="54"/>
    </row>
    <row r="47" spans="1:19" ht="30" customHeight="1" x14ac:dyDescent="0.3">
      <c r="A47" s="59"/>
      <c r="B47" s="38"/>
      <c r="C47" s="42"/>
      <c r="D47" s="43"/>
      <c r="E47" s="86"/>
      <c r="F47" s="86"/>
      <c r="G47" s="86"/>
      <c r="H47" s="86"/>
      <c r="I47" s="86"/>
      <c r="J47" s="86"/>
      <c r="K47" s="86"/>
      <c r="L47" s="45"/>
      <c r="N47" s="96"/>
      <c r="O47" s="97"/>
      <c r="P47" s="97"/>
      <c r="Q47" s="98"/>
      <c r="S47" s="54"/>
    </row>
    <row r="48" spans="1:19" ht="30" customHeight="1" x14ac:dyDescent="0.3">
      <c r="A48" s="59"/>
      <c r="B48" s="38"/>
      <c r="C48" s="42"/>
      <c r="D48" s="43"/>
      <c r="E48" s="86"/>
      <c r="F48" s="86"/>
      <c r="G48" s="86"/>
      <c r="H48" s="86"/>
      <c r="I48" s="86"/>
      <c r="J48" s="86"/>
      <c r="K48" s="86"/>
      <c r="L48" s="44"/>
      <c r="N48" s="96"/>
      <c r="O48" s="97"/>
      <c r="P48" s="97"/>
      <c r="Q48" s="98"/>
      <c r="S48" s="54"/>
    </row>
    <row r="49" spans="1:19" ht="30" customHeight="1" x14ac:dyDescent="0.3">
      <c r="A49" s="59"/>
      <c r="B49" s="38"/>
      <c r="C49" s="42"/>
      <c r="D49" s="43"/>
      <c r="E49" s="86"/>
      <c r="F49" s="86"/>
      <c r="G49" s="86"/>
      <c r="H49" s="86"/>
      <c r="I49" s="86"/>
      <c r="J49" s="86"/>
      <c r="K49" s="86"/>
      <c r="L49" s="45"/>
      <c r="N49" s="96"/>
      <c r="O49" s="97"/>
      <c r="P49" s="97"/>
      <c r="Q49" s="98"/>
      <c r="S49" s="54"/>
    </row>
    <row r="50" spans="1:19" ht="30" customHeight="1" x14ac:dyDescent="0.3">
      <c r="A50" s="59"/>
      <c r="B50" s="38"/>
      <c r="C50" s="42"/>
      <c r="D50" s="43"/>
      <c r="E50" s="86"/>
      <c r="F50" s="86"/>
      <c r="G50" s="86"/>
      <c r="H50" s="86"/>
      <c r="I50" s="86"/>
      <c r="J50" s="86"/>
      <c r="K50" s="86"/>
      <c r="L50" s="44"/>
      <c r="N50" s="96"/>
      <c r="O50" s="97"/>
      <c r="P50" s="97"/>
      <c r="Q50" s="98"/>
      <c r="S50" s="54"/>
    </row>
    <row r="51" spans="1:19" ht="30" customHeight="1" x14ac:dyDescent="0.3">
      <c r="A51" s="59"/>
      <c r="B51" s="38"/>
      <c r="C51" s="42"/>
      <c r="D51" s="43"/>
      <c r="E51" s="86"/>
      <c r="F51" s="86"/>
      <c r="G51" s="86"/>
      <c r="H51" s="86"/>
      <c r="I51" s="86"/>
      <c r="J51" s="86"/>
      <c r="K51" s="86"/>
      <c r="L51" s="45"/>
      <c r="N51" s="96"/>
      <c r="O51" s="97"/>
      <c r="P51" s="97"/>
      <c r="Q51" s="98"/>
      <c r="S51" s="54"/>
    </row>
    <row r="52" spans="1:19" ht="30" customHeight="1" x14ac:dyDescent="0.3">
      <c r="A52" s="59"/>
      <c r="B52" s="38"/>
      <c r="C52" s="42"/>
      <c r="D52" s="43"/>
      <c r="E52" s="86"/>
      <c r="F52" s="86"/>
      <c r="G52" s="86"/>
      <c r="H52" s="86"/>
      <c r="I52" s="86"/>
      <c r="J52" s="86"/>
      <c r="K52" s="86"/>
      <c r="L52" s="46"/>
      <c r="N52" s="96"/>
      <c r="O52" s="97"/>
      <c r="P52" s="97"/>
      <c r="Q52" s="98"/>
      <c r="S52" s="54"/>
    </row>
    <row r="53" spans="1:19" ht="30" customHeight="1" x14ac:dyDescent="0.3">
      <c r="A53" s="59"/>
      <c r="B53" s="38"/>
      <c r="C53" s="42"/>
      <c r="D53" s="43"/>
      <c r="E53" s="86"/>
      <c r="F53" s="86"/>
      <c r="G53" s="86"/>
      <c r="H53" s="86"/>
      <c r="I53" s="86"/>
      <c r="J53" s="86"/>
      <c r="K53" s="86"/>
      <c r="L53" s="46"/>
      <c r="N53" s="96"/>
      <c r="O53" s="97"/>
      <c r="P53" s="97"/>
      <c r="Q53" s="98"/>
      <c r="S53" s="54"/>
    </row>
    <row r="54" spans="1:19" ht="30" customHeight="1" thickBot="1" x14ac:dyDescent="0.35">
      <c r="A54" s="59"/>
      <c r="B54" s="38"/>
      <c r="C54" s="47"/>
      <c r="D54" s="48"/>
      <c r="E54" s="87"/>
      <c r="F54" s="87"/>
      <c r="G54" s="87"/>
      <c r="H54" s="87"/>
      <c r="I54" s="87"/>
      <c r="J54" s="87"/>
      <c r="K54" s="87"/>
      <c r="L54" s="49"/>
      <c r="N54" s="96"/>
      <c r="O54" s="97"/>
      <c r="P54" s="97"/>
      <c r="Q54" s="98"/>
      <c r="S54" s="54"/>
    </row>
    <row r="55" spans="1:19" ht="30" customHeight="1" thickTop="1" x14ac:dyDescent="0.3">
      <c r="A55" s="59"/>
      <c r="B55" s="38"/>
      <c r="C55" s="38"/>
      <c r="D55" s="63"/>
      <c r="E55" s="63"/>
      <c r="F55" s="63"/>
      <c r="G55" s="63"/>
      <c r="H55" s="63"/>
      <c r="I55" s="63"/>
      <c r="J55" s="63"/>
      <c r="K55" s="63"/>
      <c r="L55" s="63"/>
      <c r="N55" s="64"/>
      <c r="O55" s="64"/>
      <c r="P55" s="62"/>
      <c r="Q55" s="65"/>
      <c r="S55" s="54"/>
    </row>
    <row r="56" spans="1:19" ht="30" customHeight="1" thickBot="1" x14ac:dyDescent="0.45">
      <c r="A56" s="59"/>
      <c r="B56" s="38"/>
      <c r="C56" s="38"/>
      <c r="D56" s="84"/>
      <c r="E56" s="63"/>
      <c r="F56" s="63"/>
      <c r="G56" s="63"/>
      <c r="H56" s="63"/>
      <c r="I56" s="63"/>
      <c r="J56" s="63"/>
      <c r="K56" s="63"/>
      <c r="L56" s="63"/>
      <c r="N56" s="95" t="s">
        <v>23</v>
      </c>
      <c r="O56" s="95"/>
      <c r="P56" s="95"/>
      <c r="Q56" s="65"/>
      <c r="S56" s="54"/>
    </row>
    <row r="57" spans="1:19" ht="30" customHeight="1" thickTop="1" x14ac:dyDescent="0.3">
      <c r="A57" s="59"/>
      <c r="B57" s="38"/>
      <c r="C57" s="88" t="s">
        <v>23</v>
      </c>
      <c r="D57" s="89"/>
      <c r="E57" s="92" t="str">
        <f ca="1">TEXT(E8, "ddd dd/mm")</f>
        <v>Mon 19/10</v>
      </c>
      <c r="F57" s="92" t="str">
        <f t="shared" ref="F57:K57" ca="1" si="3">TEXT(F8, "ddd dd/mm")</f>
        <v>Tue 20/10</v>
      </c>
      <c r="G57" s="92" t="str">
        <f t="shared" ca="1" si="3"/>
        <v>Wed 21/10</v>
      </c>
      <c r="H57" s="92" t="str">
        <f t="shared" ca="1" si="3"/>
        <v>Thu 22/10</v>
      </c>
      <c r="I57" s="92" t="str">
        <f t="shared" ca="1" si="3"/>
        <v>Fri 23/10</v>
      </c>
      <c r="J57" s="92" t="str">
        <f t="shared" ca="1" si="3"/>
        <v>Sat 24/10</v>
      </c>
      <c r="K57" s="92" t="str">
        <f t="shared" ca="1" si="3"/>
        <v>Sun 25/10</v>
      </c>
      <c r="L57" s="39"/>
      <c r="N57" s="96"/>
      <c r="O57" s="97"/>
      <c r="P57" s="97"/>
      <c r="Q57" s="98"/>
      <c r="S57" s="54"/>
    </row>
    <row r="58" spans="1:19" ht="30" customHeight="1" x14ac:dyDescent="0.3">
      <c r="A58" s="59"/>
      <c r="B58" s="38"/>
      <c r="C58" s="90"/>
      <c r="D58" s="91"/>
      <c r="E58" s="93"/>
      <c r="F58" s="93"/>
      <c r="G58" s="93"/>
      <c r="H58" s="93"/>
      <c r="I58" s="93"/>
      <c r="J58" s="93"/>
      <c r="K58" s="93"/>
      <c r="L58" s="41"/>
      <c r="N58" s="96"/>
      <c r="O58" s="97"/>
      <c r="P58" s="97"/>
      <c r="Q58" s="98"/>
      <c r="S58" s="54"/>
    </row>
    <row r="59" spans="1:19" ht="30" customHeight="1" x14ac:dyDescent="0.3">
      <c r="A59" s="59"/>
      <c r="B59" s="38"/>
      <c r="C59" s="42"/>
      <c r="D59" s="43"/>
      <c r="E59" s="86"/>
      <c r="F59" s="86"/>
      <c r="G59" s="86"/>
      <c r="H59" s="86"/>
      <c r="I59" s="86"/>
      <c r="J59" s="86"/>
      <c r="K59" s="86"/>
      <c r="L59" s="66"/>
      <c r="N59" s="96"/>
      <c r="O59" s="97"/>
      <c r="P59" s="97"/>
      <c r="Q59" s="98"/>
      <c r="S59" s="54"/>
    </row>
    <row r="60" spans="1:19" ht="30" customHeight="1" x14ac:dyDescent="0.3">
      <c r="A60" s="59"/>
      <c r="B60" s="38"/>
      <c r="C60" s="42"/>
      <c r="D60" s="43"/>
      <c r="E60" s="86"/>
      <c r="F60" s="86"/>
      <c r="G60" s="86"/>
      <c r="H60" s="86"/>
      <c r="I60" s="86"/>
      <c r="J60" s="86"/>
      <c r="K60" s="86"/>
      <c r="L60" s="44"/>
      <c r="N60" s="96"/>
      <c r="O60" s="97"/>
      <c r="P60" s="97"/>
      <c r="Q60" s="98"/>
      <c r="S60" s="54"/>
    </row>
    <row r="61" spans="1:19" ht="30" customHeight="1" x14ac:dyDescent="0.3">
      <c r="A61" s="59"/>
      <c r="B61" s="38"/>
      <c r="C61" s="42"/>
      <c r="D61" s="43"/>
      <c r="E61" s="86"/>
      <c r="F61" s="86"/>
      <c r="G61" s="86"/>
      <c r="H61" s="86"/>
      <c r="I61" s="86"/>
      <c r="J61" s="86"/>
      <c r="K61" s="86"/>
      <c r="L61" s="45"/>
      <c r="N61" s="96"/>
      <c r="O61" s="97"/>
      <c r="P61" s="97"/>
      <c r="Q61" s="98"/>
      <c r="S61" s="54"/>
    </row>
    <row r="62" spans="1:19" ht="30" customHeight="1" x14ac:dyDescent="0.3">
      <c r="A62" s="59"/>
      <c r="B62" s="38"/>
      <c r="C62" s="42"/>
      <c r="D62" s="43"/>
      <c r="E62" s="86"/>
      <c r="F62" s="86"/>
      <c r="G62" s="86"/>
      <c r="H62" s="86"/>
      <c r="I62" s="86"/>
      <c r="J62" s="86"/>
      <c r="K62" s="86"/>
      <c r="L62" s="44"/>
      <c r="N62" s="96"/>
      <c r="O62" s="97"/>
      <c r="P62" s="97"/>
      <c r="Q62" s="98"/>
      <c r="S62" s="54"/>
    </row>
    <row r="63" spans="1:19" ht="30" customHeight="1" x14ac:dyDescent="0.3">
      <c r="A63" s="59"/>
      <c r="B63" s="38"/>
      <c r="C63" s="42"/>
      <c r="D63" s="43"/>
      <c r="E63" s="86"/>
      <c r="F63" s="86"/>
      <c r="G63" s="86"/>
      <c r="H63" s="86"/>
      <c r="I63" s="86"/>
      <c r="J63" s="86"/>
      <c r="K63" s="86"/>
      <c r="L63" s="45"/>
      <c r="N63" s="96"/>
      <c r="O63" s="97"/>
      <c r="P63" s="97"/>
      <c r="Q63" s="98"/>
      <c r="S63" s="54"/>
    </row>
    <row r="64" spans="1:19" ht="30" customHeight="1" x14ac:dyDescent="0.3">
      <c r="A64" s="59"/>
      <c r="B64" s="38"/>
      <c r="C64" s="42"/>
      <c r="D64" s="43"/>
      <c r="E64" s="86"/>
      <c r="F64" s="86"/>
      <c r="G64" s="86"/>
      <c r="H64" s="86"/>
      <c r="I64" s="86"/>
      <c r="J64" s="86"/>
      <c r="K64" s="86"/>
      <c r="L64" s="44"/>
      <c r="N64" s="96"/>
      <c r="O64" s="97"/>
      <c r="P64" s="97"/>
      <c r="Q64" s="98"/>
      <c r="S64" s="54"/>
    </row>
    <row r="65" spans="1:21" ht="30" customHeight="1" x14ac:dyDescent="0.3">
      <c r="A65" s="59"/>
      <c r="B65" s="38"/>
      <c r="C65" s="42"/>
      <c r="D65" s="43"/>
      <c r="E65" s="86"/>
      <c r="F65" s="86"/>
      <c r="G65" s="86"/>
      <c r="H65" s="86"/>
      <c r="I65" s="86"/>
      <c r="J65" s="86"/>
      <c r="K65" s="86"/>
      <c r="L65" s="45"/>
      <c r="N65" s="96"/>
      <c r="O65" s="97"/>
      <c r="P65" s="97"/>
      <c r="Q65" s="98"/>
      <c r="S65" s="54"/>
    </row>
    <row r="66" spans="1:21" ht="30" customHeight="1" x14ac:dyDescent="0.3">
      <c r="A66" s="59"/>
      <c r="B66" s="38"/>
      <c r="C66" s="42"/>
      <c r="D66" s="43"/>
      <c r="E66" s="86"/>
      <c r="F66" s="86"/>
      <c r="G66" s="86"/>
      <c r="H66" s="86"/>
      <c r="I66" s="86"/>
      <c r="J66" s="86"/>
      <c r="K66" s="86"/>
      <c r="L66" s="46"/>
      <c r="N66" s="96"/>
      <c r="O66" s="97"/>
      <c r="P66" s="97"/>
      <c r="Q66" s="98"/>
      <c r="S66" s="54"/>
    </row>
    <row r="67" spans="1:21" ht="30" customHeight="1" x14ac:dyDescent="0.3">
      <c r="A67" s="59"/>
      <c r="B67" s="38"/>
      <c r="C67" s="42"/>
      <c r="D67" s="43"/>
      <c r="E67" s="86"/>
      <c r="F67" s="86"/>
      <c r="G67" s="86"/>
      <c r="H67" s="86"/>
      <c r="I67" s="86"/>
      <c r="J67" s="86"/>
      <c r="K67" s="86"/>
      <c r="L67" s="46"/>
      <c r="N67" s="96"/>
      <c r="O67" s="97"/>
      <c r="P67" s="97"/>
      <c r="Q67" s="98"/>
      <c r="S67" s="54"/>
    </row>
    <row r="68" spans="1:21" ht="30" customHeight="1" thickBot="1" x14ac:dyDescent="0.35">
      <c r="A68" s="59"/>
      <c r="B68" s="38"/>
      <c r="C68" s="47"/>
      <c r="D68" s="48"/>
      <c r="E68" s="87"/>
      <c r="F68" s="87"/>
      <c r="G68" s="87"/>
      <c r="H68" s="87"/>
      <c r="I68" s="87"/>
      <c r="J68" s="87"/>
      <c r="K68" s="87"/>
      <c r="L68" s="49"/>
      <c r="N68" s="96"/>
      <c r="O68" s="97"/>
      <c r="P68" s="97"/>
      <c r="Q68" s="98"/>
      <c r="S68" s="54"/>
    </row>
    <row r="69" spans="1:21" ht="30" customHeight="1" thickTop="1" x14ac:dyDescent="0.3">
      <c r="A69" s="59"/>
      <c r="B69" s="38"/>
      <c r="C69" s="38"/>
      <c r="D69" s="63"/>
      <c r="E69" s="63"/>
      <c r="F69" s="63"/>
      <c r="G69" s="63"/>
      <c r="H69" s="63"/>
      <c r="I69" s="63"/>
      <c r="J69" s="63"/>
      <c r="K69" s="63"/>
      <c r="L69" s="63"/>
      <c r="N69" s="64"/>
      <c r="O69" s="64"/>
      <c r="P69" s="62"/>
      <c r="Q69" s="65"/>
      <c r="S69" s="54"/>
    </row>
    <row r="70" spans="1:21" ht="30" customHeight="1" thickBot="1" x14ac:dyDescent="0.45">
      <c r="A70" s="59"/>
      <c r="B70" s="38"/>
      <c r="C70" s="38"/>
      <c r="D70" s="84"/>
      <c r="E70" s="63"/>
      <c r="F70" s="63"/>
      <c r="G70" s="63"/>
      <c r="H70" s="63"/>
      <c r="I70" s="63"/>
      <c r="J70" s="63"/>
      <c r="K70" s="63"/>
      <c r="L70" s="63"/>
      <c r="N70" s="95" t="s">
        <v>24</v>
      </c>
      <c r="O70" s="95"/>
      <c r="P70" s="95"/>
      <c r="Q70" s="65"/>
      <c r="S70" s="54"/>
    </row>
    <row r="71" spans="1:21" ht="30" customHeight="1" thickTop="1" x14ac:dyDescent="0.3">
      <c r="A71" s="59"/>
      <c r="B71" s="38"/>
      <c r="C71" s="88" t="s">
        <v>24</v>
      </c>
      <c r="D71" s="89"/>
      <c r="E71" s="92" t="str">
        <f ca="1">TEXT(E9, "ddd dd/mm")</f>
        <v>Mon 26/10</v>
      </c>
      <c r="F71" s="92" t="str">
        <f t="shared" ref="F71:J71" ca="1" si="4">TEXT(F9, "ddd dd/mm")</f>
        <v>Tue 27/10</v>
      </c>
      <c r="G71" s="92" t="str">
        <f t="shared" ca="1" si="4"/>
        <v>Wed 28/10</v>
      </c>
      <c r="H71" s="92" t="str">
        <f t="shared" ca="1" si="4"/>
        <v>Thu 29/10</v>
      </c>
      <c r="I71" s="92" t="str">
        <f t="shared" ca="1" si="4"/>
        <v>Fri 30/10</v>
      </c>
      <c r="J71" s="92" t="str">
        <f t="shared" ca="1" si="4"/>
        <v>Sat 31/10</v>
      </c>
      <c r="K71" s="92"/>
      <c r="L71" s="39"/>
      <c r="N71" s="96"/>
      <c r="O71" s="97"/>
      <c r="P71" s="97"/>
      <c r="Q71" s="98"/>
      <c r="S71" s="54"/>
    </row>
    <row r="72" spans="1:21" ht="30" customHeight="1" x14ac:dyDescent="0.3">
      <c r="A72" s="59"/>
      <c r="B72" s="38"/>
      <c r="C72" s="90"/>
      <c r="D72" s="91"/>
      <c r="E72" s="93"/>
      <c r="F72" s="93"/>
      <c r="G72" s="93"/>
      <c r="H72" s="93"/>
      <c r="I72" s="93"/>
      <c r="J72" s="93"/>
      <c r="K72" s="93"/>
      <c r="L72" s="41"/>
      <c r="N72" s="96"/>
      <c r="O72" s="97"/>
      <c r="P72" s="97"/>
      <c r="Q72" s="98"/>
      <c r="R72" s="3"/>
      <c r="S72" s="54"/>
      <c r="T72" s="3"/>
      <c r="U72" s="3"/>
    </row>
    <row r="73" spans="1:21" ht="30" customHeight="1" x14ac:dyDescent="0.3">
      <c r="A73" s="59"/>
      <c r="B73" s="38"/>
      <c r="C73" s="42"/>
      <c r="D73" s="43"/>
      <c r="E73" s="86"/>
      <c r="F73" s="86"/>
      <c r="G73" s="86"/>
      <c r="H73" s="86"/>
      <c r="I73" s="86"/>
      <c r="J73" s="86"/>
      <c r="K73" s="86"/>
      <c r="L73" s="66"/>
      <c r="N73" s="96"/>
      <c r="O73" s="97"/>
      <c r="P73" s="97"/>
      <c r="Q73" s="98"/>
      <c r="S73" s="54"/>
    </row>
    <row r="74" spans="1:21" ht="30" customHeight="1" x14ac:dyDescent="0.3">
      <c r="A74" s="59"/>
      <c r="B74" s="38"/>
      <c r="C74" s="42"/>
      <c r="D74" s="43"/>
      <c r="E74" s="86"/>
      <c r="F74" s="86"/>
      <c r="G74" s="86"/>
      <c r="H74" s="86"/>
      <c r="I74" s="86"/>
      <c r="J74" s="86"/>
      <c r="K74" s="86"/>
      <c r="L74" s="44"/>
      <c r="N74" s="96"/>
      <c r="O74" s="97"/>
      <c r="P74" s="97"/>
      <c r="Q74" s="98"/>
      <c r="S74" s="54"/>
    </row>
    <row r="75" spans="1:21" ht="30" customHeight="1" x14ac:dyDescent="0.3">
      <c r="A75" s="59"/>
      <c r="B75" s="38"/>
      <c r="C75" s="42"/>
      <c r="D75" s="43"/>
      <c r="E75" s="86"/>
      <c r="F75" s="86"/>
      <c r="G75" s="86"/>
      <c r="H75" s="86"/>
      <c r="I75" s="86"/>
      <c r="J75" s="86"/>
      <c r="K75" s="86"/>
      <c r="L75" s="45"/>
      <c r="N75" s="96"/>
      <c r="O75" s="97"/>
      <c r="P75" s="97"/>
      <c r="Q75" s="98"/>
      <c r="S75" s="54"/>
    </row>
    <row r="76" spans="1:21" ht="30" customHeight="1" x14ac:dyDescent="0.3">
      <c r="A76" s="59"/>
      <c r="B76" s="38"/>
      <c r="C76" s="42"/>
      <c r="D76" s="43"/>
      <c r="E76" s="86"/>
      <c r="F76" s="86"/>
      <c r="G76" s="86"/>
      <c r="H76" s="86"/>
      <c r="I76" s="86"/>
      <c r="J76" s="86"/>
      <c r="K76" s="86"/>
      <c r="L76" s="44"/>
      <c r="N76" s="96"/>
      <c r="O76" s="97"/>
      <c r="P76" s="97"/>
      <c r="Q76" s="98"/>
      <c r="S76" s="54"/>
    </row>
    <row r="77" spans="1:21" ht="30" customHeight="1" x14ac:dyDescent="0.3">
      <c r="A77" s="59"/>
      <c r="B77" s="38"/>
      <c r="C77" s="42"/>
      <c r="D77" s="43"/>
      <c r="E77" s="86"/>
      <c r="F77" s="86"/>
      <c r="G77" s="86"/>
      <c r="H77" s="86"/>
      <c r="I77" s="86"/>
      <c r="J77" s="86"/>
      <c r="K77" s="86"/>
      <c r="L77" s="45"/>
      <c r="N77" s="96"/>
      <c r="O77" s="97"/>
      <c r="P77" s="97"/>
      <c r="Q77" s="98"/>
      <c r="S77" s="54"/>
    </row>
    <row r="78" spans="1:21" ht="30" customHeight="1" x14ac:dyDescent="0.3">
      <c r="A78" s="59"/>
      <c r="B78" s="38"/>
      <c r="C78" s="42"/>
      <c r="D78" s="43"/>
      <c r="E78" s="86"/>
      <c r="F78" s="86"/>
      <c r="G78" s="86"/>
      <c r="H78" s="86"/>
      <c r="I78" s="86"/>
      <c r="J78" s="86"/>
      <c r="K78" s="86"/>
      <c r="L78" s="44"/>
      <c r="N78" s="96"/>
      <c r="O78" s="97"/>
      <c r="P78" s="97"/>
      <c r="Q78" s="98"/>
      <c r="S78" s="54"/>
    </row>
    <row r="79" spans="1:21" ht="30" customHeight="1" x14ac:dyDescent="0.3">
      <c r="A79" s="59"/>
      <c r="B79" s="38"/>
      <c r="C79" s="42"/>
      <c r="D79" s="43"/>
      <c r="E79" s="86"/>
      <c r="F79" s="86"/>
      <c r="G79" s="86"/>
      <c r="H79" s="86"/>
      <c r="I79" s="86"/>
      <c r="J79" s="86"/>
      <c r="K79" s="86"/>
      <c r="L79" s="45"/>
      <c r="N79" s="96"/>
      <c r="O79" s="97"/>
      <c r="P79" s="97"/>
      <c r="Q79" s="98"/>
      <c r="S79" s="54"/>
    </row>
    <row r="80" spans="1:21" ht="30" customHeight="1" x14ac:dyDescent="0.3">
      <c r="A80" s="59"/>
      <c r="B80" s="38"/>
      <c r="C80" s="42"/>
      <c r="D80" s="43"/>
      <c r="E80" s="86"/>
      <c r="F80" s="86"/>
      <c r="G80" s="86"/>
      <c r="H80" s="86"/>
      <c r="I80" s="86"/>
      <c r="J80" s="86"/>
      <c r="K80" s="86"/>
      <c r="L80" s="46"/>
      <c r="N80" s="96"/>
      <c r="O80" s="97"/>
      <c r="P80" s="97"/>
      <c r="Q80" s="98"/>
      <c r="S80" s="54"/>
    </row>
    <row r="81" spans="1:19" ht="30" customHeight="1" x14ac:dyDescent="0.3">
      <c r="A81" s="59"/>
      <c r="B81" s="38"/>
      <c r="C81" s="42"/>
      <c r="D81" s="43"/>
      <c r="E81" s="86"/>
      <c r="F81" s="86"/>
      <c r="G81" s="86"/>
      <c r="H81" s="86"/>
      <c r="I81" s="86"/>
      <c r="J81" s="86"/>
      <c r="K81" s="86"/>
      <c r="L81" s="46"/>
      <c r="N81" s="96"/>
      <c r="O81" s="97"/>
      <c r="P81" s="97"/>
      <c r="Q81" s="98"/>
      <c r="S81" s="54"/>
    </row>
    <row r="82" spans="1:19" ht="30" customHeight="1" thickBot="1" x14ac:dyDescent="0.35">
      <c r="A82" s="59"/>
      <c r="B82" s="38"/>
      <c r="C82" s="47"/>
      <c r="D82" s="48"/>
      <c r="E82" s="87"/>
      <c r="F82" s="87"/>
      <c r="G82" s="87"/>
      <c r="H82" s="87"/>
      <c r="I82" s="87"/>
      <c r="J82" s="87"/>
      <c r="K82" s="87"/>
      <c r="L82" s="49"/>
      <c r="N82" s="96"/>
      <c r="O82" s="97"/>
      <c r="P82" s="97"/>
      <c r="Q82" s="98"/>
      <c r="S82" s="54"/>
    </row>
    <row r="83" spans="1:19" ht="30" customHeight="1" thickTop="1" x14ac:dyDescent="0.3">
      <c r="A83" s="59"/>
      <c r="B83" s="38"/>
      <c r="C83" s="38"/>
      <c r="D83" s="63"/>
      <c r="E83" s="63"/>
      <c r="F83" s="63"/>
      <c r="G83" s="63"/>
      <c r="H83" s="63"/>
      <c r="I83" s="63"/>
      <c r="J83" s="63"/>
      <c r="K83" s="63"/>
      <c r="L83" s="63"/>
      <c r="N83" s="64"/>
      <c r="O83" s="64"/>
      <c r="P83" s="62"/>
      <c r="Q83" s="65"/>
      <c r="S83" s="54"/>
    </row>
    <row r="84" spans="1:19" ht="30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6"/>
      <c r="O84" s="56"/>
      <c r="P84" s="54"/>
      <c r="Q84" s="57"/>
      <c r="R84" s="54"/>
      <c r="S84" s="54"/>
    </row>
  </sheetData>
  <sheetProtection sheet="1" objects="1" scenarios="1" selectLockedCells="1"/>
  <dataConsolidate/>
  <mergeCells count="106">
    <mergeCell ref="C57:D58"/>
    <mergeCell ref="C71:D72"/>
    <mergeCell ref="N25:Q25"/>
    <mergeCell ref="N26:Q26"/>
    <mergeCell ref="C15:D16"/>
    <mergeCell ref="C29:D30"/>
    <mergeCell ref="C43:D44"/>
    <mergeCell ref="N20:Q20"/>
    <mergeCell ref="N21:Q21"/>
    <mergeCell ref="N22:Q22"/>
    <mergeCell ref="N23:Q23"/>
    <mergeCell ref="N24:Q24"/>
    <mergeCell ref="N15:Q15"/>
    <mergeCell ref="N16:Q16"/>
    <mergeCell ref="N17:Q17"/>
    <mergeCell ref="N18:Q18"/>
    <mergeCell ref="N19:Q19"/>
    <mergeCell ref="N54:Q54"/>
    <mergeCell ref="N29:Q29"/>
    <mergeCell ref="N30:Q30"/>
    <mergeCell ref="N31:Q31"/>
    <mergeCell ref="N32:Q32"/>
    <mergeCell ref="N33:Q33"/>
    <mergeCell ref="N34:Q34"/>
    <mergeCell ref="N37:Q37"/>
    <mergeCell ref="N38:Q38"/>
    <mergeCell ref="N39:Q39"/>
    <mergeCell ref="N40:Q40"/>
    <mergeCell ref="N81:Q81"/>
    <mergeCell ref="N82:Q82"/>
    <mergeCell ref="N57:Q57"/>
    <mergeCell ref="N58:Q58"/>
    <mergeCell ref="N59:Q59"/>
    <mergeCell ref="N60:Q60"/>
    <mergeCell ref="N61:Q61"/>
    <mergeCell ref="N62:Q62"/>
    <mergeCell ref="N63:Q63"/>
    <mergeCell ref="N64:Q64"/>
    <mergeCell ref="N65:Q65"/>
    <mergeCell ref="N66:Q66"/>
    <mergeCell ref="N67:Q67"/>
    <mergeCell ref="N68:Q68"/>
    <mergeCell ref="N76:Q76"/>
    <mergeCell ref="N77:Q77"/>
    <mergeCell ref="N78:Q78"/>
    <mergeCell ref="N79:Q79"/>
    <mergeCell ref="N80:Q80"/>
    <mergeCell ref="N71:Q71"/>
    <mergeCell ref="N72:Q72"/>
    <mergeCell ref="N73:Q73"/>
    <mergeCell ref="N74:Q74"/>
    <mergeCell ref="N75:Q75"/>
    <mergeCell ref="N70:P70"/>
    <mergeCell ref="E43:E44"/>
    <mergeCell ref="F43:F44"/>
    <mergeCell ref="G43:G44"/>
    <mergeCell ref="H43:H44"/>
    <mergeCell ref="N43:Q43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N53:Q53"/>
    <mergeCell ref="K71:K72"/>
    <mergeCell ref="E57:E58"/>
    <mergeCell ref="D5:D6"/>
    <mergeCell ref="N14:P14"/>
    <mergeCell ref="N28:P28"/>
    <mergeCell ref="N42:P42"/>
    <mergeCell ref="N56:P56"/>
    <mergeCell ref="I43:I44"/>
    <mergeCell ref="J43:J44"/>
    <mergeCell ref="K43:K44"/>
    <mergeCell ref="E29:E30"/>
    <mergeCell ref="F29:F30"/>
    <mergeCell ref="G29:G30"/>
    <mergeCell ref="H29:H30"/>
    <mergeCell ref="I29:I30"/>
    <mergeCell ref="J29:J30"/>
    <mergeCell ref="K29:K30"/>
    <mergeCell ref="K15:K16"/>
    <mergeCell ref="J15:J16"/>
    <mergeCell ref="E15:E16"/>
    <mergeCell ref="F15:F16"/>
    <mergeCell ref="G15:G16"/>
    <mergeCell ref="H15:H16"/>
    <mergeCell ref="I15:I16"/>
    <mergeCell ref="N35:Q35"/>
    <mergeCell ref="N36:Q36"/>
    <mergeCell ref="F57:F58"/>
    <mergeCell ref="G57:G58"/>
    <mergeCell ref="H57:H58"/>
    <mergeCell ref="I57:I58"/>
    <mergeCell ref="J57:J58"/>
    <mergeCell ref="K57:K58"/>
    <mergeCell ref="E71:E72"/>
    <mergeCell ref="F71:F72"/>
    <mergeCell ref="G71:G72"/>
    <mergeCell ref="H71:H72"/>
    <mergeCell ref="I71:I72"/>
    <mergeCell ref="J71:J72"/>
  </mergeCells>
  <conditionalFormatting sqref="D17:K25">
    <cfRule type="expression" dxfId="61" priority="5">
      <formula>D17&lt;&gt;""</formula>
    </cfRule>
  </conditionalFormatting>
  <conditionalFormatting sqref="D26:K27">
    <cfRule type="expression" dxfId="60" priority="15">
      <formula>COLUMN(#REF!)&gt;2</formula>
    </cfRule>
  </conditionalFormatting>
  <conditionalFormatting sqref="D31:K39">
    <cfRule type="expression" dxfId="59" priority="4">
      <formula>D31&lt;&gt;""</formula>
    </cfRule>
  </conditionalFormatting>
  <conditionalFormatting sqref="D40:K41">
    <cfRule type="expression" dxfId="58" priority="13">
      <formula>COLUMN(#REF!)&gt;2</formula>
    </cfRule>
  </conditionalFormatting>
  <conditionalFormatting sqref="D45:K53">
    <cfRule type="expression" dxfId="57" priority="3">
      <formula>D45&lt;&gt;""</formula>
    </cfRule>
  </conditionalFormatting>
  <conditionalFormatting sqref="D54:K55">
    <cfRule type="expression" dxfId="56" priority="11">
      <formula>COLUMN(#REF!)&gt;2</formula>
    </cfRule>
  </conditionalFormatting>
  <conditionalFormatting sqref="D59:K67">
    <cfRule type="expression" dxfId="55" priority="2">
      <formula>D59&lt;&gt;""</formula>
    </cfRule>
  </conditionalFormatting>
  <conditionalFormatting sqref="D68:K69">
    <cfRule type="expression" dxfId="54" priority="9">
      <formula>COLUMN(#REF!)&gt;2</formula>
    </cfRule>
  </conditionalFormatting>
  <conditionalFormatting sqref="D73:K81">
    <cfRule type="expression" dxfId="53" priority="1">
      <formula>D73&lt;&gt;""</formula>
    </cfRule>
  </conditionalFormatting>
  <conditionalFormatting sqref="D82:K83">
    <cfRule type="expression" dxfId="52" priority="7">
      <formula>COLUMN(#REF!)&gt;2</formula>
    </cfRule>
  </conditionalFormatting>
  <conditionalFormatting sqref="E5:J5">
    <cfRule type="expression" dxfId="51" priority="18" stopIfTrue="1">
      <formula>DAY(E5)&gt;8</formula>
    </cfRule>
  </conditionalFormatting>
  <conditionalFormatting sqref="E4:K10">
    <cfRule type="timePeriod" dxfId="50" priority="16" timePeriod="thisWeek">
      <formula>AND(TODAY()-ROUNDDOWN(E4,0)&lt;=WEEKDAY(TODAY())-1,ROUNDDOWN(E4,0)-TODAY()&lt;=7-WEEKDAY(TODAY()))</formula>
    </cfRule>
  </conditionalFormatting>
  <conditionalFormatting sqref="E5:K10">
    <cfRule type="expression" dxfId="49" priority="19">
      <formula>VLOOKUP(DAY(E5),$O:$O,1,FALSE)=DAY(E5)</formula>
    </cfRule>
  </conditionalFormatting>
  <conditionalFormatting sqref="E9:K10">
    <cfRule type="expression" dxfId="48" priority="17" stopIfTrue="1">
      <formula>AND(DAY(E9)&gt;=1,DAY(E9)&lt;=15)</formula>
    </cfRule>
  </conditionalFormatting>
  <conditionalFormatting sqref="E56:K56 E70:K70">
    <cfRule type="expression" dxfId="47" priority="40">
      <formula>COLUMN(#REF!)&gt;2</formula>
    </cfRule>
  </conditionalFormatting>
  <conditionalFormatting sqref="M6:M11">
    <cfRule type="expression" dxfId="46" priority="39">
      <formula>VLOOKUP(DAY(M6),AssignmentDays,1,FALSE)=DAY(M6)</formula>
    </cfRule>
  </conditionalFormatting>
  <conditionalFormatting sqref="M10:M11">
    <cfRule type="expression" dxfId="45" priority="38" stopIfTrue="1">
      <formula>AND(DAY(M10)&gt;=1,DAY(M10)&lt;=15)</formula>
    </cfRule>
  </conditionalFormatting>
  <conditionalFormatting sqref="R72 T72:U72">
    <cfRule type="expression" dxfId="44" priority="28" stopIfTrue="1">
      <formula>AND(DAY(R72)&gt;=1,DAY(R72)&lt;=15)</formula>
    </cfRule>
    <cfRule type="expression" dxfId="43" priority="37">
      <formula>VLOOKUP(DAY(R72),$O:$O,1,FALSE)=DAY(R72)</formula>
    </cfRule>
  </conditionalFormatting>
  <dataValidations count="10">
    <dataValidation allowBlank="1" showInputMessage="1" showErrorMessage="1" prompt="March calendar. Calendar year is automatically updated based on cell D5 in Jan sheet." sqref="A1" xr:uid="{387CFACB-5DC0-49A3-954E-451B1F409077}"/>
    <dataValidation allowBlank="1" showInputMessage="1" showErrorMessage="1" prompt="Cells E4:K4 contain weekdays" sqref="E4" xr:uid="{9AB81C3C-2D65-4EB7-9548-07BF9025DED0}"/>
    <dataValidation allowBlank="1" showInputMessage="1" showErrorMessage="1" prompt="If this cell doesn’t contain the number 1, then it is a day from a previous month. Cells E5:K10 contain dates for the current month" sqref="E5" xr:uid="{909E169A-7309-4037-B532-EED2C2BDBB9D}"/>
    <dataValidation allowBlank="1" showInputMessage="1" showErrorMessage="1" prompt="Enter the assignment details in this column that correspond to the weekday in column N and day in column O for the calendar month at left" sqref="N4" xr:uid="{ED1CBBD0-A4F4-4227-8169-AD3235A58E6C}"/>
    <dataValidation allowBlank="1" showInputMessage="1" showErrorMessage="1" prompt="Calendar automatically highlights assignment list entries for the month. Darker fonts are assignments. Lighter fonts are days that belong to the previous or next month" sqref="D4" xr:uid="{4DF3DF47-5D73-4D00-85B1-B67E58099E67}"/>
    <dataValidation allowBlank="1" showInputMessage="1" showErrorMessage="1" prompt="Calendar year is automatically updated in this cell. To change the calendar year, to go cell D5 in Jan worksheet." sqref="D5:D6" xr:uid="{EBC784B3-AE79-463D-91BB-219ADC9F9558}"/>
    <dataValidation allowBlank="1" showInputMessage="1" showErrorMessage="1" prompt="Day of the week goes in this row, starting in cell D16" sqref="A29 A15" xr:uid="{039169B7-9A7C-4CB8-BDD8-DC966E0093C8}"/>
    <dataValidation allowBlank="1" showInputMessage="1" showErrorMessage="1" prompt="Weekdays are in this row, from Monday to Friday" sqref="C57 C43 C15 E15:K15 E29:K29 C29 C71" xr:uid="{6B7DBCE6-6811-476C-B52E-840FD884A3A0}"/>
    <dataValidation allowBlank="1" showInputMessage="1" showErrorMessage="1" prompt="If this row contains a number less than the previous number or row of numbers, then this row contains dates for the next calendar month" sqref="E10" xr:uid="{62E3A3A3-8D1C-46C4-91E0-272C16760955}"/>
    <dataValidation allowBlank="1" showInputMessage="1" showErrorMessage="1" prompt="Enter the time of your class and under it, in a new row, the class name for each weekday in columns D to K. Repeat this pattern for all classes in subsequent rows" sqref="D13" xr:uid="{DBA65440-8ABD-4488-BBA5-CCE336F0A989}"/>
  </dataValidations>
  <printOptions horizontalCentered="1" verticalCentered="1"/>
  <pageMargins left="0.25" right="0.25" top="0.5" bottom="0.5" header="0.3" footer="0.3"/>
  <pageSetup scale="21" orientation="landscape" r:id="rId1"/>
  <rowBreaks count="1" manualBreakCount="1">
    <brk id="1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5370-2F6D-4B8F-9BA7-D4B64C846AA1}">
  <sheetPr>
    <tabColor theme="6" tint="0.39997558519241921"/>
    <pageSetUpPr fitToPage="1"/>
  </sheetPr>
  <dimension ref="A1:U98"/>
  <sheetViews>
    <sheetView showGridLines="0" topLeftCell="A85" zoomScale="59" zoomScaleNormal="100" zoomScalePageLayoutView="84" workbookViewId="0">
      <selection activeCell="G91" sqref="G91"/>
    </sheetView>
  </sheetViews>
  <sheetFormatPr defaultColWidth="8.59765625" defaultRowHeight="30" customHeight="1" x14ac:dyDescent="0.25"/>
  <cols>
    <col min="1" max="2" width="5.59765625" customWidth="1"/>
    <col min="3" max="3" width="2.59765625" customWidth="1"/>
    <col min="4" max="4" width="19.5" customWidth="1"/>
    <col min="5" max="11" width="24.59765625" customWidth="1"/>
    <col min="12" max="12" width="2.59765625" customWidth="1"/>
    <col min="13" max="13" width="5.59765625" style="11" customWidth="1"/>
    <col min="14" max="14" width="12.59765625" style="50" customWidth="1"/>
    <col min="15" max="15" width="5.59765625" style="50" customWidth="1"/>
    <col min="16" max="16" width="2.59765625" customWidth="1"/>
    <col min="17" max="17" width="70.59765625" style="12" customWidth="1"/>
    <col min="18" max="19" width="5.59765625" customWidth="1"/>
  </cols>
  <sheetData>
    <row r="1" spans="1:19" ht="30" customHeight="1" x14ac:dyDescent="0.25">
      <c r="A1" s="54"/>
      <c r="B1" s="54"/>
      <c r="C1" s="54"/>
      <c r="D1" s="55"/>
      <c r="E1" s="54"/>
      <c r="F1" s="54"/>
      <c r="G1" s="54"/>
      <c r="H1" s="54"/>
      <c r="I1" s="54"/>
      <c r="J1" s="54"/>
      <c r="K1" s="54"/>
      <c r="L1" s="54"/>
      <c r="M1" s="60"/>
      <c r="N1" s="56"/>
      <c r="O1" s="56"/>
      <c r="P1" s="54"/>
      <c r="Q1" s="57"/>
      <c r="R1" s="54"/>
      <c r="S1" s="54"/>
    </row>
    <row r="2" spans="1:19" ht="30" customHeight="1" thickBot="1" x14ac:dyDescent="0.3">
      <c r="A2" s="54"/>
      <c r="D2" s="10"/>
      <c r="E2" s="10"/>
      <c r="F2" s="10"/>
      <c r="G2" s="10"/>
      <c r="H2" s="10"/>
      <c r="I2" s="10"/>
      <c r="J2" s="10"/>
      <c r="K2" s="10"/>
      <c r="N2"/>
      <c r="O2"/>
      <c r="S2" s="54"/>
    </row>
    <row r="3" spans="1:19" ht="30" customHeight="1" thickTop="1" x14ac:dyDescent="0.3">
      <c r="A3" s="54"/>
      <c r="C3" s="14"/>
      <c r="D3" s="15"/>
      <c r="E3" s="15"/>
      <c r="F3" s="15"/>
      <c r="G3" s="15"/>
      <c r="H3" s="15"/>
      <c r="I3" s="15"/>
      <c r="J3" s="15"/>
      <c r="K3" s="15"/>
      <c r="L3" s="16"/>
      <c r="N3" s="68"/>
      <c r="O3" s="64"/>
      <c r="P3" s="69"/>
      <c r="Q3" s="70"/>
      <c r="S3" s="54"/>
    </row>
    <row r="4" spans="1:19" ht="35.1" customHeight="1" x14ac:dyDescent="0.25">
      <c r="A4" s="54"/>
      <c r="C4" s="17"/>
      <c r="D4" s="1" t="s">
        <v>18</v>
      </c>
      <c r="E4" s="18" t="s">
        <v>1</v>
      </c>
      <c r="F4" s="18" t="s">
        <v>2</v>
      </c>
      <c r="G4" s="18" t="s">
        <v>3</v>
      </c>
      <c r="H4" s="18" t="s">
        <v>4</v>
      </c>
      <c r="I4" s="18" t="s">
        <v>5</v>
      </c>
      <c r="J4" s="18" t="s">
        <v>6</v>
      </c>
      <c r="K4" s="18" t="s">
        <v>7</v>
      </c>
      <c r="L4" s="19"/>
      <c r="N4" s="71"/>
      <c r="O4" s="69"/>
      <c r="P4" s="69"/>
      <c r="Q4" s="72"/>
      <c r="S4" s="54"/>
    </row>
    <row r="5" spans="1:19" ht="30" customHeight="1" x14ac:dyDescent="0.3">
      <c r="A5" s="58"/>
      <c r="B5" s="21"/>
      <c r="C5" s="22"/>
      <c r="D5" s="94">
        <f ca="1">CalendarYear</f>
        <v>2026</v>
      </c>
      <c r="E5" s="3">
        <f ca="1">IF(DAY(NovSun1)=1,NovSun1-6,NovSun1+1)</f>
        <v>46321</v>
      </c>
      <c r="F5" s="3">
        <f ca="1">IF(DAY(NovSun1)=1,NovSun1-5,NovSun1+2)</f>
        <v>46322</v>
      </c>
      <c r="G5" s="3">
        <f ca="1">IF(DAY(NovSun1)=1,NovSun1-4,NovSun1+3)</f>
        <v>46323</v>
      </c>
      <c r="H5" s="3">
        <f ca="1">IF(DAY(NovSun1)=1,NovSun1-3,NovSun1+4)</f>
        <v>46324</v>
      </c>
      <c r="I5" s="3">
        <f ca="1">IF(DAY(NovSun1)=1,NovSun1-2,NovSun1+5)</f>
        <v>46325</v>
      </c>
      <c r="J5" s="3">
        <f ca="1">IF(DAY(NovSun1)=1,NovSun1-1,NovSun1+6)</f>
        <v>46326</v>
      </c>
      <c r="K5" s="3">
        <f ca="1">IF(DAY(NovSun1)=1,NovSun1,NovSun1+7)</f>
        <v>46327</v>
      </c>
      <c r="L5" s="24"/>
      <c r="M5" s="25"/>
      <c r="N5" s="68"/>
      <c r="O5" s="69"/>
      <c r="P5" s="69"/>
      <c r="Q5" s="70"/>
      <c r="S5" s="54"/>
    </row>
    <row r="6" spans="1:19" ht="30" customHeight="1" x14ac:dyDescent="0.3">
      <c r="A6" s="58"/>
      <c r="B6" s="21"/>
      <c r="C6" s="22"/>
      <c r="D6" s="94"/>
      <c r="E6" s="3">
        <f ca="1">IF(DAY(NovSun1)=1,NovSun1+1,NovSun1+8)</f>
        <v>46328</v>
      </c>
      <c r="F6" s="3">
        <f ca="1">IF(DAY(NovSun1)=1,NovSun1+2,NovSun1+9)</f>
        <v>46329</v>
      </c>
      <c r="G6" s="3">
        <f ca="1">IF(DAY(NovSun1)=1,NovSun1+3,NovSun1+10)</f>
        <v>46330</v>
      </c>
      <c r="H6" s="3">
        <f ca="1">IF(DAY(NovSun1)=1,NovSun1+4,NovSun1+11)</f>
        <v>46331</v>
      </c>
      <c r="I6" s="3">
        <f ca="1">IF(DAY(NovSun1)=1,NovSun1+5,NovSun1+12)</f>
        <v>46332</v>
      </c>
      <c r="J6" s="3">
        <f ca="1">IF(DAY(NovSun1)=1,NovSun1+6,NovSun1+13)</f>
        <v>46333</v>
      </c>
      <c r="K6" s="3">
        <f ca="1">IF(DAY(NovSun1)=1,NovSun1+7,NovSun1+14)</f>
        <v>46334</v>
      </c>
      <c r="L6" s="24"/>
      <c r="M6" s="26"/>
      <c r="N6" s="73"/>
      <c r="O6" s="74"/>
      <c r="P6" s="74"/>
      <c r="Q6" s="70"/>
      <c r="S6" s="54"/>
    </row>
    <row r="7" spans="1:19" ht="30" customHeight="1" x14ac:dyDescent="0.25">
      <c r="A7" s="58"/>
      <c r="B7" s="21"/>
      <c r="C7" s="22"/>
      <c r="D7" s="27"/>
      <c r="E7" s="3">
        <f ca="1">IF(DAY(NovSun1)=1,NovSun1+8,NovSun1+15)</f>
        <v>46335</v>
      </c>
      <c r="F7" s="3">
        <f ca="1">IF(DAY(NovSun1)=1,NovSun1+9,NovSun1+16)</f>
        <v>46336</v>
      </c>
      <c r="G7" s="3">
        <f ca="1">IF(DAY(NovSun1)=1,NovSun1+10,NovSun1+17)</f>
        <v>46337</v>
      </c>
      <c r="H7" s="3">
        <f ca="1">IF(DAY(NovSun1)=1,NovSun1+11,NovSun1+18)</f>
        <v>46338</v>
      </c>
      <c r="I7" s="3">
        <f ca="1">IF(DAY(NovSun1)=1,NovSun1+12,NovSun1+19)</f>
        <v>46339</v>
      </c>
      <c r="J7" s="3">
        <f ca="1">IF(DAY(NovSun1)=1,NovSun1+13,NovSun1+20)</f>
        <v>46340</v>
      </c>
      <c r="K7" s="3">
        <f ca="1">IF(DAY(NovSun1)=1,NovSun1+14,NovSun1+21)</f>
        <v>46341</v>
      </c>
      <c r="L7" s="24"/>
      <c r="M7" s="26"/>
      <c r="N7" s="75"/>
      <c r="O7" s="76"/>
      <c r="P7" s="76"/>
      <c r="Q7" s="70"/>
      <c r="S7" s="54"/>
    </row>
    <row r="8" spans="1:19" ht="30" customHeight="1" x14ac:dyDescent="0.3">
      <c r="A8" s="58"/>
      <c r="B8" s="21"/>
      <c r="C8" s="22"/>
      <c r="D8" s="27"/>
      <c r="E8" s="3">
        <f ca="1">IF(DAY(NovSun1)=1,NovSun1+15,NovSun1+22)</f>
        <v>46342</v>
      </c>
      <c r="F8" s="3">
        <f ca="1">IF(DAY(NovSun1)=1,NovSun1+16,NovSun1+23)</f>
        <v>46343</v>
      </c>
      <c r="G8" s="3">
        <f ca="1">IF(DAY(NovSun1)=1,NovSun1+17,NovSun1+24)</f>
        <v>46344</v>
      </c>
      <c r="H8" s="3">
        <f ca="1">IF(DAY(NovSun1)=1,NovSun1+18,NovSun1+25)</f>
        <v>46345</v>
      </c>
      <c r="I8" s="3">
        <f ca="1">IF(DAY(NovSun1)=1,NovSun1+19,NovSun1+26)</f>
        <v>46346</v>
      </c>
      <c r="J8" s="3">
        <f ca="1">IF(DAY(NovSun1)=1,NovSun1+20,NovSun1+27)</f>
        <v>46347</v>
      </c>
      <c r="K8" s="3">
        <f ca="1">IF(DAY(NovSun1)=1,NovSun1+21,NovSun1+28)</f>
        <v>46348</v>
      </c>
      <c r="L8" s="24"/>
      <c r="M8" s="26"/>
      <c r="N8" s="77"/>
      <c r="O8" s="62"/>
      <c r="P8" s="62"/>
      <c r="Q8" s="70"/>
      <c r="S8" s="54"/>
    </row>
    <row r="9" spans="1:19" ht="30" customHeight="1" x14ac:dyDescent="0.3">
      <c r="A9" s="58"/>
      <c r="B9" s="21"/>
      <c r="C9" s="22"/>
      <c r="D9" s="27"/>
      <c r="E9" s="3">
        <f ca="1">IF(DAY(NovSun1)=1,NovSun1+22,NovSun1+29)</f>
        <v>46349</v>
      </c>
      <c r="F9" s="3">
        <f ca="1">IF(DAY(NovSun1)=1,NovSun1+23,NovSun1+30)</f>
        <v>46350</v>
      </c>
      <c r="G9" s="3">
        <f ca="1">IF(DAY(NovSun1)=1,NovSun1+24,NovSun1+31)</f>
        <v>46351</v>
      </c>
      <c r="H9" s="3">
        <f ca="1">IF(DAY(NovSun1)=1,NovSun1+25,NovSun1+32)</f>
        <v>46352</v>
      </c>
      <c r="I9" s="3">
        <f ca="1">IF(DAY(NovSun1)=1,NovSun1+26,NovSun1+33)</f>
        <v>46353</v>
      </c>
      <c r="J9" s="3">
        <f ca="1">IF(DAY(NovSun1)=1,NovSun1+27,NovSun1+34)</f>
        <v>46354</v>
      </c>
      <c r="K9" s="3">
        <f ca="1">IF(DAY(NovSun1)=1,NovSun1+28,NovSun1+35)</f>
        <v>46355</v>
      </c>
      <c r="L9" s="24"/>
      <c r="M9" s="26"/>
      <c r="N9" s="77"/>
      <c r="O9" s="62"/>
      <c r="P9" s="62"/>
      <c r="Q9" s="70"/>
      <c r="S9" s="54"/>
    </row>
    <row r="10" spans="1:19" ht="30" customHeight="1" x14ac:dyDescent="0.3">
      <c r="A10" s="58"/>
      <c r="B10" s="21"/>
      <c r="C10" s="22"/>
      <c r="D10" s="27"/>
      <c r="E10" s="3">
        <f ca="1">IF(DAY(NovSun1)=1,NovSun1+29,NovSun1+36)</f>
        <v>46356</v>
      </c>
      <c r="F10" s="3">
        <f ca="1">IF(DAY(NovSun1)=1,NovSun1+30,NovSun1+37)</f>
        <v>46357</v>
      </c>
      <c r="G10" s="3">
        <f ca="1">IF(DAY(NovSun1)=1,NovSun1+31,NovSun1+38)</f>
        <v>46358</v>
      </c>
      <c r="H10" s="3">
        <f ca="1">IF(DAY(NovSun1)=1,NovSun1+32,NovSun1+39)</f>
        <v>46359</v>
      </c>
      <c r="I10" s="3">
        <f ca="1">IF(DAY(NovSun1)=1,NovSun1+33,NovSun1+40)</f>
        <v>46360</v>
      </c>
      <c r="J10" s="3">
        <f ca="1">IF(DAY(NovSun1)=1,NovSun1+34,NovSun1+41)</f>
        <v>46361</v>
      </c>
      <c r="K10" s="3">
        <f ca="1">IF(DAY(NovSun1)=1,NovSun1+35,NovSun1+42)</f>
        <v>46362</v>
      </c>
      <c r="L10" s="30"/>
      <c r="M10" s="26"/>
      <c r="N10" s="77"/>
      <c r="O10" s="62"/>
      <c r="P10" s="62"/>
      <c r="Q10" s="78"/>
      <c r="S10" s="54"/>
    </row>
    <row r="11" spans="1:19" ht="30" customHeight="1" thickBot="1" x14ac:dyDescent="0.35">
      <c r="A11" s="58"/>
      <c r="B11" s="21"/>
      <c r="C11" s="31"/>
      <c r="D11" s="10"/>
      <c r="E11" s="10"/>
      <c r="F11" s="10"/>
      <c r="G11" s="10"/>
      <c r="H11" s="10"/>
      <c r="I11" s="10"/>
      <c r="J11" s="10"/>
      <c r="K11" s="10"/>
      <c r="L11" s="32"/>
      <c r="M11" s="33"/>
      <c r="N11" s="77"/>
      <c r="O11" s="62"/>
      <c r="P11" s="62"/>
      <c r="Q11" s="78"/>
      <c r="S11" s="54"/>
    </row>
    <row r="12" spans="1:19" ht="30" customHeight="1" thickTop="1" x14ac:dyDescent="0.25">
      <c r="A12" s="58"/>
      <c r="B12" s="21"/>
      <c r="C12" s="21"/>
      <c r="D12" s="34"/>
      <c r="E12" s="15"/>
      <c r="F12" s="15"/>
      <c r="G12" s="15"/>
      <c r="H12" s="15"/>
      <c r="I12" s="15"/>
      <c r="J12" s="15"/>
      <c r="K12" s="15"/>
      <c r="N12" s="75"/>
      <c r="O12" s="76"/>
      <c r="P12" s="76"/>
      <c r="Q12" s="65"/>
      <c r="S12" s="54"/>
    </row>
    <row r="13" spans="1:19" ht="30" customHeight="1" x14ac:dyDescent="0.25">
      <c r="A13" s="58"/>
      <c r="B13" s="21"/>
      <c r="C13" s="21"/>
      <c r="D13" s="2" t="s">
        <v>8</v>
      </c>
      <c r="E13" s="35"/>
      <c r="F13" s="35"/>
      <c r="G13" s="35"/>
      <c r="H13" s="35"/>
      <c r="I13" s="35"/>
      <c r="J13" s="35"/>
      <c r="K13" s="35"/>
      <c r="N13" s="75"/>
      <c r="O13" s="76"/>
      <c r="P13" s="76"/>
      <c r="Q13" s="65"/>
      <c r="S13" s="58"/>
    </row>
    <row r="14" spans="1:19" ht="30" customHeight="1" thickBot="1" x14ac:dyDescent="0.45">
      <c r="A14" s="58"/>
      <c r="B14" s="21"/>
      <c r="C14" s="21"/>
      <c r="D14" s="84"/>
      <c r="E14" s="37"/>
      <c r="F14" s="37"/>
      <c r="G14" s="37"/>
      <c r="H14" s="37"/>
      <c r="I14" s="37"/>
      <c r="J14" s="37"/>
      <c r="K14" s="37"/>
      <c r="L14" s="37"/>
      <c r="M14" s="36"/>
      <c r="N14" s="95" t="s">
        <v>20</v>
      </c>
      <c r="O14" s="95"/>
      <c r="P14" s="95"/>
      <c r="Q14" s="65"/>
      <c r="S14" s="54"/>
    </row>
    <row r="15" spans="1:19" ht="30" customHeight="1" thickTop="1" x14ac:dyDescent="0.3">
      <c r="A15" s="59"/>
      <c r="B15" s="38"/>
      <c r="C15" s="88" t="s">
        <v>20</v>
      </c>
      <c r="D15" s="89"/>
      <c r="E15" s="92"/>
      <c r="F15" s="92"/>
      <c r="G15" s="92"/>
      <c r="H15" s="92" t="str">
        <f t="shared" ref="H15:K15" ca="1" si="0">TEXT(H5, "ddd dd/mm")</f>
        <v>Thu 29/10</v>
      </c>
      <c r="I15" s="92" t="str">
        <f t="shared" ca="1" si="0"/>
        <v>Fri 30/10</v>
      </c>
      <c r="J15" s="92" t="str">
        <f t="shared" ca="1" si="0"/>
        <v>Sat 31/10</v>
      </c>
      <c r="K15" s="92" t="str">
        <f t="shared" ca="1" si="0"/>
        <v>Sun 01/11</v>
      </c>
      <c r="L15" s="39"/>
      <c r="M15" s="40"/>
      <c r="N15" s="96"/>
      <c r="O15" s="97"/>
      <c r="P15" s="97"/>
      <c r="Q15" s="98"/>
      <c r="S15" s="54"/>
    </row>
    <row r="16" spans="1:19" ht="30" customHeight="1" x14ac:dyDescent="0.3">
      <c r="A16" s="59"/>
      <c r="B16" s="38"/>
      <c r="C16" s="90"/>
      <c r="D16" s="91"/>
      <c r="E16" s="93"/>
      <c r="F16" s="93"/>
      <c r="G16" s="93"/>
      <c r="H16" s="93"/>
      <c r="I16" s="93"/>
      <c r="J16" s="93"/>
      <c r="K16" s="93"/>
      <c r="L16" s="41"/>
      <c r="N16" s="96"/>
      <c r="O16" s="97"/>
      <c r="P16" s="97"/>
      <c r="Q16" s="98"/>
      <c r="S16" s="54"/>
    </row>
    <row r="17" spans="1:19" ht="30" customHeight="1" x14ac:dyDescent="0.3">
      <c r="A17" s="59"/>
      <c r="B17" s="38"/>
      <c r="C17" s="42"/>
      <c r="D17" s="43"/>
      <c r="E17" s="86"/>
      <c r="F17" s="86"/>
      <c r="G17" s="86"/>
      <c r="H17" s="86"/>
      <c r="I17" s="86"/>
      <c r="J17" s="86"/>
      <c r="K17" s="86"/>
      <c r="L17" s="66"/>
      <c r="M17" s="67"/>
      <c r="N17" s="96"/>
      <c r="O17" s="97"/>
      <c r="P17" s="97"/>
      <c r="Q17" s="98"/>
      <c r="S17" s="54"/>
    </row>
    <row r="18" spans="1:19" ht="30" customHeight="1" x14ac:dyDescent="0.3">
      <c r="A18" s="59"/>
      <c r="B18" s="38"/>
      <c r="C18" s="42"/>
      <c r="D18" s="43"/>
      <c r="E18" s="86"/>
      <c r="F18" s="86"/>
      <c r="G18" s="86"/>
      <c r="H18" s="86"/>
      <c r="I18" s="86"/>
      <c r="J18" s="86"/>
      <c r="K18" s="86"/>
      <c r="L18" s="44"/>
      <c r="N18" s="96"/>
      <c r="O18" s="97"/>
      <c r="P18" s="97"/>
      <c r="Q18" s="98"/>
      <c r="S18" s="54"/>
    </row>
    <row r="19" spans="1:19" ht="30" customHeight="1" x14ac:dyDescent="0.3">
      <c r="A19" s="59"/>
      <c r="B19" s="38"/>
      <c r="C19" s="42"/>
      <c r="D19" s="43"/>
      <c r="E19" s="86"/>
      <c r="F19" s="86"/>
      <c r="G19" s="86"/>
      <c r="H19" s="86"/>
      <c r="I19" s="86"/>
      <c r="J19" s="86"/>
      <c r="K19" s="86"/>
      <c r="L19" s="45"/>
      <c r="N19" s="96"/>
      <c r="O19" s="97"/>
      <c r="P19" s="97"/>
      <c r="Q19" s="98"/>
      <c r="S19" s="54"/>
    </row>
    <row r="20" spans="1:19" ht="30" customHeight="1" x14ac:dyDescent="0.3">
      <c r="A20" s="59"/>
      <c r="B20" s="38"/>
      <c r="C20" s="42"/>
      <c r="D20" s="43"/>
      <c r="E20" s="86"/>
      <c r="F20" s="86"/>
      <c r="G20" s="86"/>
      <c r="H20" s="86"/>
      <c r="I20" s="86"/>
      <c r="J20" s="86"/>
      <c r="K20" s="86"/>
      <c r="L20" s="44"/>
      <c r="N20" s="96"/>
      <c r="O20" s="97"/>
      <c r="P20" s="97"/>
      <c r="Q20" s="98"/>
      <c r="S20" s="54"/>
    </row>
    <row r="21" spans="1:19" ht="30" customHeight="1" x14ac:dyDescent="0.3">
      <c r="A21" s="59"/>
      <c r="B21" s="38"/>
      <c r="C21" s="42"/>
      <c r="D21" s="43"/>
      <c r="E21" s="86"/>
      <c r="F21" s="86"/>
      <c r="G21" s="86"/>
      <c r="H21" s="86"/>
      <c r="I21" s="86"/>
      <c r="J21" s="86"/>
      <c r="K21" s="86"/>
      <c r="L21" s="45"/>
      <c r="N21" s="96"/>
      <c r="O21" s="97"/>
      <c r="P21" s="97"/>
      <c r="Q21" s="98"/>
      <c r="S21" s="54"/>
    </row>
    <row r="22" spans="1:19" ht="30" customHeight="1" x14ac:dyDescent="0.3">
      <c r="A22" s="59"/>
      <c r="B22" s="38"/>
      <c r="C22" s="42"/>
      <c r="D22" s="43"/>
      <c r="E22" s="86"/>
      <c r="F22" s="86"/>
      <c r="G22" s="86"/>
      <c r="H22" s="86"/>
      <c r="I22" s="86"/>
      <c r="J22" s="86"/>
      <c r="K22" s="86"/>
      <c r="L22" s="44"/>
      <c r="N22" s="96"/>
      <c r="O22" s="97"/>
      <c r="P22" s="97"/>
      <c r="Q22" s="98"/>
      <c r="S22" s="54"/>
    </row>
    <row r="23" spans="1:19" ht="30" customHeight="1" x14ac:dyDescent="0.3">
      <c r="A23" s="59"/>
      <c r="B23" s="38"/>
      <c r="C23" s="42"/>
      <c r="D23" s="43"/>
      <c r="E23" s="86"/>
      <c r="F23" s="86"/>
      <c r="G23" s="86"/>
      <c r="H23" s="86"/>
      <c r="I23" s="86"/>
      <c r="J23" s="86"/>
      <c r="K23" s="86"/>
      <c r="L23" s="45"/>
      <c r="N23" s="96"/>
      <c r="O23" s="97"/>
      <c r="P23" s="97"/>
      <c r="Q23" s="98"/>
      <c r="S23" s="54"/>
    </row>
    <row r="24" spans="1:19" ht="30" customHeight="1" x14ac:dyDescent="0.3">
      <c r="A24" s="59"/>
      <c r="B24" s="38"/>
      <c r="C24" s="42"/>
      <c r="D24" s="43"/>
      <c r="E24" s="86"/>
      <c r="F24" s="86"/>
      <c r="G24" s="86"/>
      <c r="H24" s="86"/>
      <c r="I24" s="86"/>
      <c r="J24" s="86"/>
      <c r="K24" s="86"/>
      <c r="L24" s="46"/>
      <c r="N24" s="96"/>
      <c r="O24" s="97"/>
      <c r="P24" s="97"/>
      <c r="Q24" s="98"/>
      <c r="S24" s="54"/>
    </row>
    <row r="25" spans="1:19" ht="30" customHeight="1" x14ac:dyDescent="0.3">
      <c r="A25" s="59"/>
      <c r="B25" s="38"/>
      <c r="C25" s="42"/>
      <c r="D25" s="43"/>
      <c r="E25" s="86"/>
      <c r="F25" s="86"/>
      <c r="G25" s="86"/>
      <c r="H25" s="86"/>
      <c r="I25" s="86"/>
      <c r="J25" s="86"/>
      <c r="K25" s="86"/>
      <c r="L25" s="46"/>
      <c r="N25" s="96"/>
      <c r="O25" s="97"/>
      <c r="P25" s="97"/>
      <c r="Q25" s="98"/>
      <c r="S25" s="54"/>
    </row>
    <row r="26" spans="1:19" ht="30" customHeight="1" thickBot="1" x14ac:dyDescent="0.35">
      <c r="A26" s="59"/>
      <c r="B26" s="38"/>
      <c r="C26" s="47"/>
      <c r="D26" s="48"/>
      <c r="E26" s="87"/>
      <c r="F26" s="87"/>
      <c r="G26" s="87"/>
      <c r="H26" s="87"/>
      <c r="I26" s="87"/>
      <c r="J26" s="87"/>
      <c r="K26" s="87"/>
      <c r="L26" s="49"/>
      <c r="N26" s="96"/>
      <c r="O26" s="97"/>
      <c r="P26" s="97"/>
      <c r="Q26" s="98"/>
      <c r="S26" s="54"/>
    </row>
    <row r="27" spans="1:19" ht="30" customHeight="1" thickTop="1" x14ac:dyDescent="0.3">
      <c r="A27" s="59"/>
      <c r="B27" s="38"/>
      <c r="C27" s="38"/>
      <c r="D27" s="63"/>
      <c r="E27" s="63"/>
      <c r="F27" s="63"/>
      <c r="G27" s="63"/>
      <c r="H27" s="63"/>
      <c r="I27" s="63"/>
      <c r="J27" s="63"/>
      <c r="K27" s="63"/>
      <c r="L27" s="63"/>
      <c r="N27" s="64"/>
      <c r="O27" s="64"/>
      <c r="P27" s="62"/>
      <c r="Q27" s="65"/>
      <c r="S27" s="54"/>
    </row>
    <row r="28" spans="1:19" ht="30" customHeight="1" thickBot="1" x14ac:dyDescent="0.45">
      <c r="A28" s="58"/>
      <c r="B28" s="21"/>
      <c r="C28" s="21"/>
      <c r="D28" s="84"/>
      <c r="E28" s="37"/>
      <c r="F28" s="37"/>
      <c r="G28" s="37"/>
      <c r="H28" s="37"/>
      <c r="I28" s="37"/>
      <c r="J28" s="37"/>
      <c r="K28" s="37"/>
      <c r="L28" s="37"/>
      <c r="M28" s="36"/>
      <c r="N28" s="95" t="s">
        <v>21</v>
      </c>
      <c r="O28" s="95"/>
      <c r="P28" s="95"/>
      <c r="Q28" s="65"/>
      <c r="S28" s="54"/>
    </row>
    <row r="29" spans="1:19" ht="30" customHeight="1" thickTop="1" x14ac:dyDescent="0.3">
      <c r="A29" s="59"/>
      <c r="B29" s="38"/>
      <c r="C29" s="88" t="s">
        <v>21</v>
      </c>
      <c r="D29" s="89"/>
      <c r="E29" s="92" t="str">
        <f ca="1">TEXT(E6, "ddd dd/mm")</f>
        <v>Mon 02/11</v>
      </c>
      <c r="F29" s="92" t="str">
        <f t="shared" ref="F29:J29" ca="1" si="1">TEXT(F6, "ddd dd/mm")</f>
        <v>Tue 03/11</v>
      </c>
      <c r="G29" s="92" t="str">
        <f t="shared" ca="1" si="1"/>
        <v>Wed 04/11</v>
      </c>
      <c r="H29" s="92" t="str">
        <f t="shared" ca="1" si="1"/>
        <v>Thu 05/11</v>
      </c>
      <c r="I29" s="92" t="str">
        <f t="shared" ca="1" si="1"/>
        <v>Fri 06/11</v>
      </c>
      <c r="J29" s="92" t="str">
        <f t="shared" ca="1" si="1"/>
        <v>Sat 07/11</v>
      </c>
      <c r="K29" s="92" t="str">
        <f ca="1">TEXT(K6, "ddd dd/mm")</f>
        <v>Sun 08/11</v>
      </c>
      <c r="L29" s="39"/>
      <c r="M29" s="40"/>
      <c r="N29" s="96"/>
      <c r="O29" s="97"/>
      <c r="P29" s="97"/>
      <c r="Q29" s="98"/>
      <c r="S29" s="54"/>
    </row>
    <row r="30" spans="1:19" ht="30" customHeight="1" x14ac:dyDescent="0.3">
      <c r="A30" s="59"/>
      <c r="B30" s="38"/>
      <c r="C30" s="90"/>
      <c r="D30" s="91"/>
      <c r="E30" s="93"/>
      <c r="F30" s="93"/>
      <c r="G30" s="93"/>
      <c r="H30" s="93"/>
      <c r="I30" s="93"/>
      <c r="J30" s="93"/>
      <c r="K30" s="93"/>
      <c r="L30" s="41"/>
      <c r="N30" s="96"/>
      <c r="O30" s="97"/>
      <c r="P30" s="97"/>
      <c r="Q30" s="98"/>
      <c r="S30" s="54"/>
    </row>
    <row r="31" spans="1:19" ht="30" customHeight="1" x14ac:dyDescent="0.3">
      <c r="A31" s="59"/>
      <c r="B31" s="38"/>
      <c r="C31" s="42"/>
      <c r="D31" s="43"/>
      <c r="E31" s="86"/>
      <c r="F31" s="86"/>
      <c r="G31" s="86"/>
      <c r="H31" s="86"/>
      <c r="I31" s="86"/>
      <c r="J31" s="86"/>
      <c r="K31" s="86"/>
      <c r="L31" s="66"/>
      <c r="M31" s="67"/>
      <c r="N31" s="96"/>
      <c r="O31" s="97"/>
      <c r="P31" s="97"/>
      <c r="Q31" s="98"/>
      <c r="S31" s="54"/>
    </row>
    <row r="32" spans="1:19" ht="30" customHeight="1" x14ac:dyDescent="0.3">
      <c r="A32" s="59"/>
      <c r="B32" s="38"/>
      <c r="C32" s="42"/>
      <c r="D32" s="43"/>
      <c r="E32" s="86"/>
      <c r="F32" s="86"/>
      <c r="G32" s="86"/>
      <c r="H32" s="86"/>
      <c r="I32" s="86"/>
      <c r="J32" s="86"/>
      <c r="K32" s="86"/>
      <c r="L32" s="44"/>
      <c r="N32" s="96"/>
      <c r="O32" s="97"/>
      <c r="P32" s="97"/>
      <c r="Q32" s="98"/>
      <c r="S32" s="54"/>
    </row>
    <row r="33" spans="1:19" ht="30" customHeight="1" x14ac:dyDescent="0.3">
      <c r="A33" s="59"/>
      <c r="B33" s="38"/>
      <c r="C33" s="42"/>
      <c r="D33" s="43"/>
      <c r="E33" s="86"/>
      <c r="F33" s="86"/>
      <c r="G33" s="86"/>
      <c r="H33" s="86"/>
      <c r="I33" s="86"/>
      <c r="J33" s="86"/>
      <c r="K33" s="86"/>
      <c r="L33" s="45"/>
      <c r="N33" s="96"/>
      <c r="O33" s="97"/>
      <c r="P33" s="97"/>
      <c r="Q33" s="98"/>
      <c r="S33" s="54"/>
    </row>
    <row r="34" spans="1:19" ht="30" customHeight="1" x14ac:dyDescent="0.3">
      <c r="A34" s="59"/>
      <c r="B34" s="38"/>
      <c r="C34" s="42"/>
      <c r="D34" s="43"/>
      <c r="E34" s="86"/>
      <c r="F34" s="86"/>
      <c r="G34" s="86"/>
      <c r="H34" s="86"/>
      <c r="I34" s="86"/>
      <c r="J34" s="86"/>
      <c r="K34" s="86"/>
      <c r="L34" s="44"/>
      <c r="N34" s="96"/>
      <c r="O34" s="97"/>
      <c r="P34" s="97"/>
      <c r="Q34" s="98"/>
      <c r="S34" s="54"/>
    </row>
    <row r="35" spans="1:19" ht="30" customHeight="1" x14ac:dyDescent="0.3">
      <c r="A35" s="59"/>
      <c r="B35" s="38"/>
      <c r="C35" s="42"/>
      <c r="D35" s="43"/>
      <c r="E35" s="86"/>
      <c r="F35" s="86"/>
      <c r="G35" s="86"/>
      <c r="H35" s="86"/>
      <c r="I35" s="86"/>
      <c r="J35" s="86"/>
      <c r="K35" s="86"/>
      <c r="L35" s="45"/>
      <c r="N35" s="96"/>
      <c r="O35" s="97"/>
      <c r="P35" s="97"/>
      <c r="Q35" s="98"/>
      <c r="S35" s="54"/>
    </row>
    <row r="36" spans="1:19" ht="30" customHeight="1" x14ac:dyDescent="0.3">
      <c r="A36" s="59"/>
      <c r="B36" s="38"/>
      <c r="C36" s="42"/>
      <c r="D36" s="43"/>
      <c r="E36" s="86"/>
      <c r="F36" s="86"/>
      <c r="G36" s="86"/>
      <c r="H36" s="86"/>
      <c r="I36" s="86"/>
      <c r="J36" s="86"/>
      <c r="K36" s="86"/>
      <c r="L36" s="44"/>
      <c r="N36" s="96"/>
      <c r="O36" s="97"/>
      <c r="P36" s="97"/>
      <c r="Q36" s="98"/>
      <c r="S36" s="54"/>
    </row>
    <row r="37" spans="1:19" ht="30" customHeight="1" x14ac:dyDescent="0.3">
      <c r="A37" s="59"/>
      <c r="B37" s="38"/>
      <c r="C37" s="42"/>
      <c r="D37" s="43"/>
      <c r="E37" s="86"/>
      <c r="F37" s="86"/>
      <c r="G37" s="86"/>
      <c r="H37" s="86"/>
      <c r="I37" s="86"/>
      <c r="J37" s="86"/>
      <c r="K37" s="86"/>
      <c r="L37" s="45"/>
      <c r="N37" s="96"/>
      <c r="O37" s="97"/>
      <c r="P37" s="97"/>
      <c r="Q37" s="98"/>
      <c r="S37" s="54"/>
    </row>
    <row r="38" spans="1:19" ht="30" customHeight="1" x14ac:dyDescent="0.3">
      <c r="A38" s="59"/>
      <c r="B38" s="38"/>
      <c r="C38" s="42"/>
      <c r="D38" s="43"/>
      <c r="E38" s="86"/>
      <c r="F38" s="86"/>
      <c r="G38" s="86"/>
      <c r="H38" s="86"/>
      <c r="I38" s="86"/>
      <c r="J38" s="86"/>
      <c r="K38" s="86"/>
      <c r="L38" s="46"/>
      <c r="N38" s="96"/>
      <c r="O38" s="97"/>
      <c r="P38" s="97"/>
      <c r="Q38" s="98"/>
      <c r="S38" s="54"/>
    </row>
    <row r="39" spans="1:19" ht="30" customHeight="1" x14ac:dyDescent="0.3">
      <c r="A39" s="59"/>
      <c r="B39" s="38"/>
      <c r="C39" s="42"/>
      <c r="D39" s="43"/>
      <c r="E39" s="86"/>
      <c r="F39" s="86"/>
      <c r="G39" s="86"/>
      <c r="H39" s="86"/>
      <c r="I39" s="86"/>
      <c r="J39" s="86"/>
      <c r="K39" s="86"/>
      <c r="L39" s="46"/>
      <c r="N39" s="96"/>
      <c r="O39" s="97"/>
      <c r="P39" s="97"/>
      <c r="Q39" s="98"/>
      <c r="S39" s="54"/>
    </row>
    <row r="40" spans="1:19" ht="30" customHeight="1" thickBot="1" x14ac:dyDescent="0.35">
      <c r="A40" s="59"/>
      <c r="B40" s="38"/>
      <c r="C40" s="47"/>
      <c r="D40" s="48"/>
      <c r="E40" s="87"/>
      <c r="F40" s="87"/>
      <c r="G40" s="87"/>
      <c r="H40" s="87"/>
      <c r="I40" s="87"/>
      <c r="J40" s="87"/>
      <c r="K40" s="87"/>
      <c r="L40" s="49"/>
      <c r="N40" s="96"/>
      <c r="O40" s="97"/>
      <c r="P40" s="97"/>
      <c r="Q40" s="98"/>
      <c r="S40" s="54"/>
    </row>
    <row r="41" spans="1:19" ht="30" customHeight="1" thickTop="1" x14ac:dyDescent="0.3">
      <c r="A41" s="59"/>
      <c r="B41" s="38"/>
      <c r="C41" s="38"/>
      <c r="D41" s="63"/>
      <c r="E41" s="63"/>
      <c r="F41" s="63"/>
      <c r="G41" s="63"/>
      <c r="H41" s="63"/>
      <c r="I41" s="63"/>
      <c r="J41" s="63"/>
      <c r="K41" s="63"/>
      <c r="L41" s="63"/>
      <c r="N41" s="64"/>
      <c r="O41" s="64"/>
      <c r="P41" s="62"/>
      <c r="Q41" s="65"/>
      <c r="S41" s="54"/>
    </row>
    <row r="42" spans="1:19" ht="30" customHeight="1" thickBot="1" x14ac:dyDescent="0.45">
      <c r="A42" s="59"/>
      <c r="B42" s="38"/>
      <c r="C42" s="38"/>
      <c r="D42" s="84"/>
      <c r="E42" s="37"/>
      <c r="F42" s="37"/>
      <c r="G42" s="37"/>
      <c r="H42" s="37"/>
      <c r="I42" s="37"/>
      <c r="J42" s="37"/>
      <c r="K42" s="37"/>
      <c r="L42" s="48"/>
      <c r="N42" s="95" t="s">
        <v>22</v>
      </c>
      <c r="O42" s="95"/>
      <c r="P42" s="95"/>
      <c r="Q42" s="65"/>
      <c r="S42" s="54"/>
    </row>
    <row r="43" spans="1:19" ht="30" customHeight="1" thickTop="1" x14ac:dyDescent="0.3">
      <c r="A43" s="59"/>
      <c r="B43" s="38"/>
      <c r="C43" s="88" t="s">
        <v>22</v>
      </c>
      <c r="D43" s="89"/>
      <c r="E43" s="92" t="str">
        <f ca="1">TEXT(E7, "ddd dd/mm")</f>
        <v>Mon 09/11</v>
      </c>
      <c r="F43" s="92" t="str">
        <f t="shared" ref="F43:K43" ca="1" si="2">TEXT(F7, "ddd dd/mm")</f>
        <v>Tue 10/11</v>
      </c>
      <c r="G43" s="92" t="str">
        <f t="shared" ca="1" si="2"/>
        <v>Wed 11/11</v>
      </c>
      <c r="H43" s="92" t="str">
        <f t="shared" ca="1" si="2"/>
        <v>Thu 12/11</v>
      </c>
      <c r="I43" s="92" t="str">
        <f t="shared" ca="1" si="2"/>
        <v>Fri 13/11</v>
      </c>
      <c r="J43" s="92" t="str">
        <f t="shared" ca="1" si="2"/>
        <v>Sat 14/11</v>
      </c>
      <c r="K43" s="92" t="str">
        <f t="shared" ca="1" si="2"/>
        <v>Sun 15/11</v>
      </c>
      <c r="L43" s="39"/>
      <c r="N43" s="96"/>
      <c r="O43" s="97"/>
      <c r="P43" s="97"/>
      <c r="Q43" s="98"/>
      <c r="S43" s="54"/>
    </row>
    <row r="44" spans="1:19" ht="30" customHeight="1" x14ac:dyDescent="0.3">
      <c r="A44" s="59"/>
      <c r="B44" s="38"/>
      <c r="C44" s="90"/>
      <c r="D44" s="91"/>
      <c r="E44" s="93"/>
      <c r="F44" s="93"/>
      <c r="G44" s="93"/>
      <c r="H44" s="93"/>
      <c r="I44" s="93"/>
      <c r="J44" s="93"/>
      <c r="K44" s="93"/>
      <c r="L44" s="41"/>
      <c r="N44" s="96"/>
      <c r="O44" s="97"/>
      <c r="P44" s="97"/>
      <c r="Q44" s="98"/>
      <c r="S44" s="54"/>
    </row>
    <row r="45" spans="1:19" ht="30" customHeight="1" x14ac:dyDescent="0.3">
      <c r="A45" s="59"/>
      <c r="B45" s="38"/>
      <c r="C45" s="42"/>
      <c r="D45" s="43"/>
      <c r="E45" s="86"/>
      <c r="F45" s="86"/>
      <c r="G45" s="86"/>
      <c r="H45" s="86"/>
      <c r="I45" s="86"/>
      <c r="J45" s="86"/>
      <c r="K45" s="86"/>
      <c r="L45" s="66"/>
      <c r="N45" s="96"/>
      <c r="O45" s="97"/>
      <c r="P45" s="97"/>
      <c r="Q45" s="98"/>
      <c r="S45" s="54"/>
    </row>
    <row r="46" spans="1:19" ht="30" customHeight="1" x14ac:dyDescent="0.3">
      <c r="A46" s="59"/>
      <c r="B46" s="38"/>
      <c r="C46" s="42"/>
      <c r="D46" s="43"/>
      <c r="E46" s="86"/>
      <c r="F46" s="86"/>
      <c r="G46" s="86"/>
      <c r="H46" s="86"/>
      <c r="I46" s="86"/>
      <c r="J46" s="86"/>
      <c r="K46" s="86"/>
      <c r="L46" s="44"/>
      <c r="N46" s="96"/>
      <c r="O46" s="97"/>
      <c r="P46" s="97"/>
      <c r="Q46" s="98"/>
      <c r="S46" s="54"/>
    </row>
    <row r="47" spans="1:19" ht="30" customHeight="1" x14ac:dyDescent="0.3">
      <c r="A47" s="59"/>
      <c r="B47" s="38"/>
      <c r="C47" s="42"/>
      <c r="D47" s="43"/>
      <c r="E47" s="86"/>
      <c r="F47" s="86"/>
      <c r="G47" s="86"/>
      <c r="H47" s="86"/>
      <c r="I47" s="86"/>
      <c r="J47" s="86"/>
      <c r="K47" s="86"/>
      <c r="L47" s="45"/>
      <c r="N47" s="96"/>
      <c r="O47" s="97"/>
      <c r="P47" s="97"/>
      <c r="Q47" s="98"/>
      <c r="S47" s="54"/>
    </row>
    <row r="48" spans="1:19" ht="30" customHeight="1" x14ac:dyDescent="0.3">
      <c r="A48" s="59"/>
      <c r="B48" s="38"/>
      <c r="C48" s="42"/>
      <c r="D48" s="43"/>
      <c r="E48" s="86"/>
      <c r="F48" s="86"/>
      <c r="G48" s="86"/>
      <c r="H48" s="86"/>
      <c r="I48" s="86"/>
      <c r="J48" s="86"/>
      <c r="K48" s="86"/>
      <c r="L48" s="44"/>
      <c r="N48" s="96"/>
      <c r="O48" s="97"/>
      <c r="P48" s="97"/>
      <c r="Q48" s="98"/>
      <c r="S48" s="54"/>
    </row>
    <row r="49" spans="1:19" ht="30" customHeight="1" x14ac:dyDescent="0.3">
      <c r="A49" s="59"/>
      <c r="B49" s="38"/>
      <c r="C49" s="42"/>
      <c r="D49" s="43"/>
      <c r="E49" s="86"/>
      <c r="F49" s="86"/>
      <c r="G49" s="86"/>
      <c r="H49" s="86"/>
      <c r="I49" s="86"/>
      <c r="J49" s="86"/>
      <c r="K49" s="86"/>
      <c r="L49" s="45"/>
      <c r="N49" s="96"/>
      <c r="O49" s="97"/>
      <c r="P49" s="97"/>
      <c r="Q49" s="98"/>
      <c r="S49" s="54"/>
    </row>
    <row r="50" spans="1:19" ht="30" customHeight="1" x14ac:dyDescent="0.3">
      <c r="A50" s="59"/>
      <c r="B50" s="38"/>
      <c r="C50" s="42"/>
      <c r="D50" s="43"/>
      <c r="E50" s="86"/>
      <c r="F50" s="86"/>
      <c r="G50" s="86"/>
      <c r="H50" s="86"/>
      <c r="I50" s="86"/>
      <c r="J50" s="86"/>
      <c r="K50" s="86"/>
      <c r="L50" s="44"/>
      <c r="N50" s="96"/>
      <c r="O50" s="97"/>
      <c r="P50" s="97"/>
      <c r="Q50" s="98"/>
      <c r="S50" s="54"/>
    </row>
    <row r="51" spans="1:19" ht="30" customHeight="1" x14ac:dyDescent="0.3">
      <c r="A51" s="59"/>
      <c r="B51" s="38"/>
      <c r="C51" s="42"/>
      <c r="D51" s="43"/>
      <c r="E51" s="86"/>
      <c r="F51" s="86"/>
      <c r="G51" s="86"/>
      <c r="H51" s="86"/>
      <c r="I51" s="86"/>
      <c r="J51" s="86"/>
      <c r="K51" s="86"/>
      <c r="L51" s="45"/>
      <c r="N51" s="96"/>
      <c r="O51" s="97"/>
      <c r="P51" s="97"/>
      <c r="Q51" s="98"/>
      <c r="S51" s="54"/>
    </row>
    <row r="52" spans="1:19" ht="30" customHeight="1" x14ac:dyDescent="0.3">
      <c r="A52" s="59"/>
      <c r="B52" s="38"/>
      <c r="C52" s="42"/>
      <c r="D52" s="43"/>
      <c r="E52" s="86"/>
      <c r="F52" s="86"/>
      <c r="G52" s="86"/>
      <c r="H52" s="86"/>
      <c r="I52" s="86"/>
      <c r="J52" s="86"/>
      <c r="K52" s="86"/>
      <c r="L52" s="46"/>
      <c r="N52" s="96"/>
      <c r="O52" s="97"/>
      <c r="P52" s="97"/>
      <c r="Q52" s="98"/>
      <c r="S52" s="54"/>
    </row>
    <row r="53" spans="1:19" ht="30" customHeight="1" x14ac:dyDescent="0.3">
      <c r="A53" s="59"/>
      <c r="B53" s="38"/>
      <c r="C53" s="42"/>
      <c r="D53" s="43"/>
      <c r="E53" s="86"/>
      <c r="F53" s="86"/>
      <c r="G53" s="86"/>
      <c r="H53" s="86"/>
      <c r="I53" s="86"/>
      <c r="J53" s="86"/>
      <c r="K53" s="86"/>
      <c r="L53" s="46"/>
      <c r="N53" s="96"/>
      <c r="O53" s="97"/>
      <c r="P53" s="97"/>
      <c r="Q53" s="98"/>
      <c r="S53" s="54"/>
    </row>
    <row r="54" spans="1:19" ht="30" customHeight="1" thickBot="1" x14ac:dyDescent="0.35">
      <c r="A54" s="59"/>
      <c r="B54" s="38"/>
      <c r="C54" s="47"/>
      <c r="D54" s="48"/>
      <c r="E54" s="87"/>
      <c r="F54" s="87"/>
      <c r="G54" s="87"/>
      <c r="H54" s="87"/>
      <c r="I54" s="87"/>
      <c r="J54" s="87"/>
      <c r="K54" s="87"/>
      <c r="L54" s="49"/>
      <c r="N54" s="96"/>
      <c r="O54" s="97"/>
      <c r="P54" s="97"/>
      <c r="Q54" s="98"/>
      <c r="S54" s="54"/>
    </row>
    <row r="55" spans="1:19" ht="30" customHeight="1" thickTop="1" x14ac:dyDescent="0.3">
      <c r="A55" s="59"/>
      <c r="B55" s="38"/>
      <c r="C55" s="38"/>
      <c r="D55" s="63"/>
      <c r="E55" s="63"/>
      <c r="F55" s="63"/>
      <c r="G55" s="63"/>
      <c r="H55" s="63"/>
      <c r="I55" s="63"/>
      <c r="J55" s="63"/>
      <c r="K55" s="63"/>
      <c r="L55" s="63"/>
      <c r="N55" s="64"/>
      <c r="O55" s="64"/>
      <c r="P55" s="62"/>
      <c r="Q55" s="65"/>
      <c r="S55" s="54"/>
    </row>
    <row r="56" spans="1:19" ht="30" customHeight="1" thickBot="1" x14ac:dyDescent="0.45">
      <c r="A56" s="59"/>
      <c r="B56" s="38"/>
      <c r="C56" s="38"/>
      <c r="D56" s="84"/>
      <c r="E56" s="63"/>
      <c r="F56" s="63"/>
      <c r="G56" s="63"/>
      <c r="H56" s="63"/>
      <c r="I56" s="63"/>
      <c r="J56" s="63"/>
      <c r="K56" s="63"/>
      <c r="L56" s="63"/>
      <c r="N56" s="95" t="s">
        <v>23</v>
      </c>
      <c r="O56" s="95"/>
      <c r="P56" s="95"/>
      <c r="Q56" s="65"/>
      <c r="S56" s="54"/>
    </row>
    <row r="57" spans="1:19" ht="30" customHeight="1" thickTop="1" x14ac:dyDescent="0.3">
      <c r="A57" s="59"/>
      <c r="B57" s="38"/>
      <c r="C57" s="88" t="s">
        <v>23</v>
      </c>
      <c r="D57" s="89"/>
      <c r="E57" s="92" t="str">
        <f ca="1">TEXT(E8, "ddd dd/mm")</f>
        <v>Mon 16/11</v>
      </c>
      <c r="F57" s="92" t="str">
        <f t="shared" ref="F57:K57" ca="1" si="3">TEXT(F8, "ddd dd/mm")</f>
        <v>Tue 17/11</v>
      </c>
      <c r="G57" s="92" t="str">
        <f t="shared" ca="1" si="3"/>
        <v>Wed 18/11</v>
      </c>
      <c r="H57" s="92" t="str">
        <f t="shared" ca="1" si="3"/>
        <v>Thu 19/11</v>
      </c>
      <c r="I57" s="92" t="str">
        <f t="shared" ca="1" si="3"/>
        <v>Fri 20/11</v>
      </c>
      <c r="J57" s="92" t="str">
        <f t="shared" ca="1" si="3"/>
        <v>Sat 21/11</v>
      </c>
      <c r="K57" s="92" t="str">
        <f t="shared" ca="1" si="3"/>
        <v>Sun 22/11</v>
      </c>
      <c r="L57" s="39"/>
      <c r="N57" s="96"/>
      <c r="O57" s="97"/>
      <c r="P57" s="97"/>
      <c r="Q57" s="98"/>
      <c r="S57" s="54"/>
    </row>
    <row r="58" spans="1:19" ht="30" customHeight="1" x14ac:dyDescent="0.3">
      <c r="A58" s="59"/>
      <c r="B58" s="38"/>
      <c r="C58" s="90"/>
      <c r="D58" s="91"/>
      <c r="E58" s="93"/>
      <c r="F58" s="93"/>
      <c r="G58" s="93"/>
      <c r="H58" s="93"/>
      <c r="I58" s="93"/>
      <c r="J58" s="93"/>
      <c r="K58" s="93"/>
      <c r="L58" s="41"/>
      <c r="N58" s="96"/>
      <c r="O58" s="97"/>
      <c r="P58" s="97"/>
      <c r="Q58" s="98"/>
      <c r="S58" s="54"/>
    </row>
    <row r="59" spans="1:19" ht="30" customHeight="1" x14ac:dyDescent="0.3">
      <c r="A59" s="59"/>
      <c r="B59" s="38"/>
      <c r="C59" s="42"/>
      <c r="D59" s="43"/>
      <c r="E59" s="86"/>
      <c r="F59" s="86"/>
      <c r="G59" s="86"/>
      <c r="H59" s="86"/>
      <c r="I59" s="86"/>
      <c r="J59" s="86"/>
      <c r="K59" s="86"/>
      <c r="L59" s="66"/>
      <c r="N59" s="96"/>
      <c r="O59" s="97"/>
      <c r="P59" s="97"/>
      <c r="Q59" s="98"/>
      <c r="S59" s="54"/>
    </row>
    <row r="60" spans="1:19" ht="30" customHeight="1" x14ac:dyDescent="0.3">
      <c r="A60" s="59"/>
      <c r="B60" s="38"/>
      <c r="C60" s="42"/>
      <c r="D60" s="43"/>
      <c r="E60" s="86"/>
      <c r="F60" s="86"/>
      <c r="G60" s="86"/>
      <c r="H60" s="86"/>
      <c r="I60" s="86"/>
      <c r="J60" s="86"/>
      <c r="K60" s="86"/>
      <c r="L60" s="44"/>
      <c r="N60" s="96"/>
      <c r="O60" s="97"/>
      <c r="P60" s="97"/>
      <c r="Q60" s="98"/>
      <c r="S60" s="54"/>
    </row>
    <row r="61" spans="1:19" ht="30" customHeight="1" x14ac:dyDescent="0.3">
      <c r="A61" s="59"/>
      <c r="B61" s="38"/>
      <c r="C61" s="42"/>
      <c r="D61" s="43"/>
      <c r="E61" s="86"/>
      <c r="F61" s="86"/>
      <c r="G61" s="86"/>
      <c r="H61" s="86"/>
      <c r="I61" s="86"/>
      <c r="J61" s="86"/>
      <c r="K61" s="86"/>
      <c r="L61" s="45"/>
      <c r="N61" s="96"/>
      <c r="O61" s="97"/>
      <c r="P61" s="97"/>
      <c r="Q61" s="98"/>
      <c r="S61" s="54"/>
    </row>
    <row r="62" spans="1:19" ht="30" customHeight="1" x14ac:dyDescent="0.3">
      <c r="A62" s="59"/>
      <c r="B62" s="38"/>
      <c r="C62" s="42"/>
      <c r="D62" s="43"/>
      <c r="E62" s="86"/>
      <c r="F62" s="86"/>
      <c r="G62" s="86"/>
      <c r="H62" s="86"/>
      <c r="I62" s="86"/>
      <c r="J62" s="86"/>
      <c r="K62" s="86"/>
      <c r="L62" s="44"/>
      <c r="N62" s="96"/>
      <c r="O62" s="97"/>
      <c r="P62" s="97"/>
      <c r="Q62" s="98"/>
      <c r="S62" s="54"/>
    </row>
    <row r="63" spans="1:19" ht="30" customHeight="1" x14ac:dyDescent="0.3">
      <c r="A63" s="59"/>
      <c r="B63" s="38"/>
      <c r="C63" s="42"/>
      <c r="D63" s="43"/>
      <c r="E63" s="86"/>
      <c r="F63" s="86"/>
      <c r="G63" s="86"/>
      <c r="H63" s="86"/>
      <c r="I63" s="86"/>
      <c r="J63" s="86"/>
      <c r="K63" s="86"/>
      <c r="L63" s="45"/>
      <c r="N63" s="96"/>
      <c r="O63" s="97"/>
      <c r="P63" s="97"/>
      <c r="Q63" s="98"/>
      <c r="S63" s="54"/>
    </row>
    <row r="64" spans="1:19" ht="30" customHeight="1" x14ac:dyDescent="0.3">
      <c r="A64" s="59"/>
      <c r="B64" s="38"/>
      <c r="C64" s="42"/>
      <c r="D64" s="43"/>
      <c r="E64" s="86"/>
      <c r="F64" s="86"/>
      <c r="G64" s="86"/>
      <c r="H64" s="86"/>
      <c r="I64" s="86"/>
      <c r="J64" s="86"/>
      <c r="K64" s="86"/>
      <c r="L64" s="44"/>
      <c r="N64" s="96"/>
      <c r="O64" s="97"/>
      <c r="P64" s="97"/>
      <c r="Q64" s="98"/>
      <c r="S64" s="54"/>
    </row>
    <row r="65" spans="1:21" ht="30" customHeight="1" x14ac:dyDescent="0.3">
      <c r="A65" s="59"/>
      <c r="B65" s="38"/>
      <c r="C65" s="42"/>
      <c r="D65" s="43"/>
      <c r="E65" s="86"/>
      <c r="F65" s="86"/>
      <c r="G65" s="86"/>
      <c r="H65" s="86"/>
      <c r="I65" s="86"/>
      <c r="J65" s="86"/>
      <c r="K65" s="86"/>
      <c r="L65" s="45"/>
      <c r="N65" s="96"/>
      <c r="O65" s="97"/>
      <c r="P65" s="97"/>
      <c r="Q65" s="98"/>
      <c r="S65" s="54"/>
    </row>
    <row r="66" spans="1:21" ht="30" customHeight="1" x14ac:dyDescent="0.3">
      <c r="A66" s="59"/>
      <c r="B66" s="38"/>
      <c r="C66" s="42"/>
      <c r="D66" s="43"/>
      <c r="E66" s="86"/>
      <c r="F66" s="86"/>
      <c r="G66" s="86"/>
      <c r="H66" s="86"/>
      <c r="I66" s="86"/>
      <c r="J66" s="86"/>
      <c r="K66" s="86"/>
      <c r="L66" s="46"/>
      <c r="N66" s="96"/>
      <c r="O66" s="97"/>
      <c r="P66" s="97"/>
      <c r="Q66" s="98"/>
      <c r="S66" s="54"/>
    </row>
    <row r="67" spans="1:21" ht="30" customHeight="1" x14ac:dyDescent="0.3">
      <c r="A67" s="59"/>
      <c r="B67" s="38"/>
      <c r="C67" s="42"/>
      <c r="D67" s="43"/>
      <c r="E67" s="86"/>
      <c r="F67" s="86"/>
      <c r="G67" s="86"/>
      <c r="H67" s="86"/>
      <c r="I67" s="86"/>
      <c r="J67" s="86"/>
      <c r="K67" s="86"/>
      <c r="L67" s="46"/>
      <c r="N67" s="96"/>
      <c r="O67" s="97"/>
      <c r="P67" s="97"/>
      <c r="Q67" s="98"/>
      <c r="S67" s="54"/>
    </row>
    <row r="68" spans="1:21" ht="30" customHeight="1" thickBot="1" x14ac:dyDescent="0.35">
      <c r="A68" s="59"/>
      <c r="B68" s="38"/>
      <c r="C68" s="47"/>
      <c r="D68" s="48"/>
      <c r="E68" s="87"/>
      <c r="F68" s="87"/>
      <c r="G68" s="87"/>
      <c r="H68" s="87"/>
      <c r="I68" s="87"/>
      <c r="J68" s="87"/>
      <c r="K68" s="87"/>
      <c r="L68" s="49"/>
      <c r="N68" s="96"/>
      <c r="O68" s="97"/>
      <c r="P68" s="97"/>
      <c r="Q68" s="98"/>
      <c r="S68" s="54"/>
    </row>
    <row r="69" spans="1:21" ht="30" customHeight="1" thickTop="1" x14ac:dyDescent="0.3">
      <c r="A69" s="59"/>
      <c r="B69" s="38"/>
      <c r="C69" s="38"/>
      <c r="D69" s="63"/>
      <c r="E69" s="63"/>
      <c r="F69" s="63"/>
      <c r="G69" s="63"/>
      <c r="H69" s="63"/>
      <c r="I69" s="63"/>
      <c r="J69" s="63"/>
      <c r="K69" s="63"/>
      <c r="L69" s="63"/>
      <c r="N69" s="64"/>
      <c r="O69" s="64"/>
      <c r="P69" s="62"/>
      <c r="Q69" s="65"/>
      <c r="S69" s="54"/>
    </row>
    <row r="70" spans="1:21" ht="30" customHeight="1" thickBot="1" x14ac:dyDescent="0.45">
      <c r="A70" s="59"/>
      <c r="B70" s="38"/>
      <c r="C70" s="38"/>
      <c r="D70" s="84"/>
      <c r="E70" s="63"/>
      <c r="F70" s="63"/>
      <c r="G70" s="63"/>
      <c r="H70" s="63"/>
      <c r="I70" s="63"/>
      <c r="J70" s="63"/>
      <c r="K70" s="63"/>
      <c r="L70" s="63"/>
      <c r="N70" s="95" t="s">
        <v>24</v>
      </c>
      <c r="O70" s="95"/>
      <c r="P70" s="95"/>
      <c r="Q70" s="65"/>
      <c r="S70" s="54"/>
    </row>
    <row r="71" spans="1:21" ht="30" customHeight="1" thickTop="1" x14ac:dyDescent="0.3">
      <c r="A71" s="59"/>
      <c r="B71" s="38"/>
      <c r="C71" s="88" t="s">
        <v>24</v>
      </c>
      <c r="D71" s="89"/>
      <c r="E71" s="92" t="str">
        <f ca="1">TEXT(E9, "ddd dd/mm")</f>
        <v>Mon 23/11</v>
      </c>
      <c r="F71" s="92" t="str">
        <f t="shared" ref="F71:K71" ca="1" si="4">TEXT(F9, "ddd dd/mm")</f>
        <v>Tue 24/11</v>
      </c>
      <c r="G71" s="92" t="str">
        <f t="shared" ca="1" si="4"/>
        <v>Wed 25/11</v>
      </c>
      <c r="H71" s="92" t="str">
        <f t="shared" ca="1" si="4"/>
        <v>Thu 26/11</v>
      </c>
      <c r="I71" s="92" t="str">
        <f t="shared" ca="1" si="4"/>
        <v>Fri 27/11</v>
      </c>
      <c r="J71" s="92" t="str">
        <f t="shared" ca="1" si="4"/>
        <v>Sat 28/11</v>
      </c>
      <c r="K71" s="92" t="str">
        <f t="shared" ca="1" si="4"/>
        <v>Sun 29/11</v>
      </c>
      <c r="L71" s="39"/>
      <c r="N71" s="96"/>
      <c r="O71" s="97"/>
      <c r="P71" s="97"/>
      <c r="Q71" s="98"/>
      <c r="S71" s="54"/>
    </row>
    <row r="72" spans="1:21" ht="30" customHeight="1" x14ac:dyDescent="0.3">
      <c r="A72" s="59"/>
      <c r="B72" s="38"/>
      <c r="C72" s="90"/>
      <c r="D72" s="91"/>
      <c r="E72" s="93"/>
      <c r="F72" s="93"/>
      <c r="G72" s="93"/>
      <c r="H72" s="93"/>
      <c r="I72" s="93"/>
      <c r="J72" s="93"/>
      <c r="K72" s="93"/>
      <c r="L72" s="41"/>
      <c r="N72" s="96"/>
      <c r="O72" s="97"/>
      <c r="P72" s="97"/>
      <c r="Q72" s="98"/>
      <c r="R72" s="3"/>
      <c r="S72" s="54"/>
      <c r="T72" s="3"/>
      <c r="U72" s="3"/>
    </row>
    <row r="73" spans="1:21" ht="30" customHeight="1" x14ac:dyDescent="0.3">
      <c r="A73" s="59"/>
      <c r="B73" s="38"/>
      <c r="C73" s="42"/>
      <c r="D73" s="43"/>
      <c r="E73" s="86"/>
      <c r="F73" s="86"/>
      <c r="G73" s="86"/>
      <c r="H73" s="86"/>
      <c r="I73" s="86"/>
      <c r="J73" s="86"/>
      <c r="K73" s="86"/>
      <c r="L73" s="66"/>
      <c r="N73" s="96"/>
      <c r="O73" s="97"/>
      <c r="P73" s="97"/>
      <c r="Q73" s="98"/>
      <c r="S73" s="54"/>
    </row>
    <row r="74" spans="1:21" ht="30" customHeight="1" x14ac:dyDescent="0.3">
      <c r="A74" s="59"/>
      <c r="B74" s="38"/>
      <c r="C74" s="42"/>
      <c r="D74" s="43"/>
      <c r="E74" s="86"/>
      <c r="F74" s="86"/>
      <c r="G74" s="86"/>
      <c r="H74" s="86"/>
      <c r="I74" s="86"/>
      <c r="J74" s="86"/>
      <c r="K74" s="86"/>
      <c r="L74" s="44"/>
      <c r="N74" s="96"/>
      <c r="O74" s="97"/>
      <c r="P74" s="97"/>
      <c r="Q74" s="98"/>
      <c r="S74" s="54"/>
    </row>
    <row r="75" spans="1:21" ht="30" customHeight="1" x14ac:dyDescent="0.3">
      <c r="A75" s="59"/>
      <c r="B75" s="38"/>
      <c r="C75" s="42"/>
      <c r="D75" s="43"/>
      <c r="E75" s="86"/>
      <c r="F75" s="86"/>
      <c r="G75" s="86"/>
      <c r="H75" s="86"/>
      <c r="I75" s="86"/>
      <c r="J75" s="86"/>
      <c r="K75" s="86"/>
      <c r="L75" s="45"/>
      <c r="N75" s="96"/>
      <c r="O75" s="97"/>
      <c r="P75" s="97"/>
      <c r="Q75" s="98"/>
      <c r="S75" s="54"/>
    </row>
    <row r="76" spans="1:21" ht="30" customHeight="1" x14ac:dyDescent="0.3">
      <c r="A76" s="59"/>
      <c r="B76" s="38"/>
      <c r="C76" s="42"/>
      <c r="D76" s="43"/>
      <c r="E76" s="86"/>
      <c r="F76" s="86"/>
      <c r="G76" s="86"/>
      <c r="H76" s="86"/>
      <c r="I76" s="86"/>
      <c r="J76" s="86"/>
      <c r="K76" s="86"/>
      <c r="L76" s="44"/>
      <c r="N76" s="96"/>
      <c r="O76" s="97"/>
      <c r="P76" s="97"/>
      <c r="Q76" s="98"/>
      <c r="S76" s="54"/>
    </row>
    <row r="77" spans="1:21" ht="30" customHeight="1" x14ac:dyDescent="0.3">
      <c r="A77" s="59"/>
      <c r="B77" s="38"/>
      <c r="C77" s="42"/>
      <c r="D77" s="43"/>
      <c r="E77" s="86"/>
      <c r="F77" s="86"/>
      <c r="G77" s="86"/>
      <c r="H77" s="86"/>
      <c r="I77" s="86"/>
      <c r="J77" s="86"/>
      <c r="K77" s="86"/>
      <c r="L77" s="45"/>
      <c r="N77" s="96"/>
      <c r="O77" s="97"/>
      <c r="P77" s="97"/>
      <c r="Q77" s="98"/>
      <c r="S77" s="54"/>
    </row>
    <row r="78" spans="1:21" ht="30" customHeight="1" x14ac:dyDescent="0.3">
      <c r="A78" s="59"/>
      <c r="B78" s="38"/>
      <c r="C78" s="42"/>
      <c r="D78" s="43"/>
      <c r="E78" s="86"/>
      <c r="F78" s="86"/>
      <c r="G78" s="86"/>
      <c r="H78" s="86"/>
      <c r="I78" s="86"/>
      <c r="J78" s="86"/>
      <c r="K78" s="86"/>
      <c r="L78" s="44"/>
      <c r="N78" s="96"/>
      <c r="O78" s="97"/>
      <c r="P78" s="97"/>
      <c r="Q78" s="98"/>
      <c r="S78" s="54"/>
    </row>
    <row r="79" spans="1:21" ht="30" customHeight="1" x14ac:dyDescent="0.3">
      <c r="A79" s="59"/>
      <c r="B79" s="38"/>
      <c r="C79" s="42"/>
      <c r="D79" s="43"/>
      <c r="E79" s="86"/>
      <c r="F79" s="86"/>
      <c r="G79" s="86"/>
      <c r="H79" s="86"/>
      <c r="I79" s="86"/>
      <c r="J79" s="86"/>
      <c r="K79" s="86"/>
      <c r="L79" s="45"/>
      <c r="N79" s="96"/>
      <c r="O79" s="97"/>
      <c r="P79" s="97"/>
      <c r="Q79" s="98"/>
      <c r="S79" s="54"/>
    </row>
    <row r="80" spans="1:21" ht="30" customHeight="1" x14ac:dyDescent="0.3">
      <c r="A80" s="59"/>
      <c r="B80" s="38"/>
      <c r="C80" s="42"/>
      <c r="D80" s="43"/>
      <c r="E80" s="86"/>
      <c r="F80" s="86"/>
      <c r="G80" s="86"/>
      <c r="H80" s="86"/>
      <c r="I80" s="86"/>
      <c r="J80" s="86"/>
      <c r="K80" s="86"/>
      <c r="L80" s="46"/>
      <c r="N80" s="96"/>
      <c r="O80" s="97"/>
      <c r="P80" s="97"/>
      <c r="Q80" s="98"/>
      <c r="S80" s="54"/>
    </row>
    <row r="81" spans="1:21" ht="30" customHeight="1" x14ac:dyDescent="0.3">
      <c r="A81" s="59"/>
      <c r="B81" s="38"/>
      <c r="C81" s="42"/>
      <c r="D81" s="43"/>
      <c r="E81" s="86"/>
      <c r="F81" s="86"/>
      <c r="G81" s="86"/>
      <c r="H81" s="86"/>
      <c r="I81" s="86"/>
      <c r="J81" s="86"/>
      <c r="K81" s="86"/>
      <c r="L81" s="46"/>
      <c r="N81" s="96"/>
      <c r="O81" s="97"/>
      <c r="P81" s="97"/>
      <c r="Q81" s="98"/>
      <c r="S81" s="54"/>
    </row>
    <row r="82" spans="1:21" ht="30" customHeight="1" thickBot="1" x14ac:dyDescent="0.35">
      <c r="A82" s="59"/>
      <c r="B82" s="38"/>
      <c r="C82" s="47"/>
      <c r="D82" s="48"/>
      <c r="E82" s="87"/>
      <c r="F82" s="87"/>
      <c r="G82" s="87"/>
      <c r="H82" s="87"/>
      <c r="I82" s="87"/>
      <c r="J82" s="87"/>
      <c r="K82" s="87"/>
      <c r="L82" s="49"/>
      <c r="N82" s="96"/>
      <c r="O82" s="97"/>
      <c r="P82" s="97"/>
      <c r="Q82" s="98"/>
      <c r="S82" s="54"/>
    </row>
    <row r="83" spans="1:21" ht="30" customHeight="1" thickTop="1" x14ac:dyDescent="0.3">
      <c r="A83" s="59"/>
      <c r="B83" s="38"/>
      <c r="C83" s="38"/>
      <c r="D83" s="63"/>
      <c r="E83" s="63"/>
      <c r="F83" s="63"/>
      <c r="G83" s="63"/>
      <c r="H83" s="63"/>
      <c r="I83" s="63"/>
      <c r="J83" s="63"/>
      <c r="K83" s="63"/>
      <c r="L83" s="63"/>
      <c r="N83" s="77"/>
      <c r="O83" s="62"/>
      <c r="P83" s="62"/>
      <c r="Q83" s="78"/>
      <c r="S83" s="54"/>
    </row>
    <row r="84" spans="1:21" ht="30" customHeight="1" thickBot="1" x14ac:dyDescent="0.45">
      <c r="A84" s="59"/>
      <c r="B84" s="38"/>
      <c r="C84" s="38"/>
      <c r="D84" s="84"/>
      <c r="E84" s="63"/>
      <c r="F84" s="63"/>
      <c r="G84" s="63"/>
      <c r="H84" s="63"/>
      <c r="I84" s="63"/>
      <c r="J84" s="63"/>
      <c r="K84" s="63"/>
      <c r="L84" s="63"/>
      <c r="N84" s="95" t="s">
        <v>25</v>
      </c>
      <c r="O84" s="95"/>
      <c r="P84" s="95"/>
      <c r="Q84" s="65"/>
      <c r="S84" s="54"/>
    </row>
    <row r="85" spans="1:21" ht="30" customHeight="1" thickTop="1" x14ac:dyDescent="0.3">
      <c r="A85" s="59"/>
      <c r="B85" s="38"/>
      <c r="C85" s="88" t="s">
        <v>25</v>
      </c>
      <c r="D85" s="89"/>
      <c r="E85" s="92" t="str">
        <f ca="1">TEXT(E10, "ddd dd/mm")</f>
        <v>Mon 30/11</v>
      </c>
      <c r="F85" s="92"/>
      <c r="G85" s="92"/>
      <c r="H85" s="92"/>
      <c r="I85" s="92"/>
      <c r="J85" s="92"/>
      <c r="K85" s="92"/>
      <c r="L85" s="39"/>
      <c r="N85" s="96"/>
      <c r="O85" s="97"/>
      <c r="P85" s="97"/>
      <c r="Q85" s="98"/>
      <c r="S85" s="54"/>
    </row>
    <row r="86" spans="1:21" ht="30" customHeight="1" x14ac:dyDescent="0.3">
      <c r="A86" s="59"/>
      <c r="B86" s="38"/>
      <c r="C86" s="90"/>
      <c r="D86" s="91"/>
      <c r="E86" s="93"/>
      <c r="F86" s="93"/>
      <c r="G86" s="93"/>
      <c r="H86" s="93"/>
      <c r="I86" s="93"/>
      <c r="J86" s="93"/>
      <c r="K86" s="93"/>
      <c r="L86" s="41"/>
      <c r="N86" s="96"/>
      <c r="O86" s="97"/>
      <c r="P86" s="97"/>
      <c r="Q86" s="98"/>
      <c r="R86" s="3"/>
      <c r="S86" s="54"/>
      <c r="T86" s="3"/>
      <c r="U86" s="3"/>
    </row>
    <row r="87" spans="1:21" ht="30" customHeight="1" x14ac:dyDescent="0.3">
      <c r="A87" s="59"/>
      <c r="B87" s="38"/>
      <c r="C87" s="42"/>
      <c r="D87" s="43"/>
      <c r="E87" s="86"/>
      <c r="F87" s="86"/>
      <c r="G87" s="86"/>
      <c r="H87" s="86"/>
      <c r="I87" s="86"/>
      <c r="J87" s="86"/>
      <c r="K87" s="86"/>
      <c r="L87" s="66"/>
      <c r="N87" s="96"/>
      <c r="O87" s="97"/>
      <c r="P87" s="97"/>
      <c r="Q87" s="98"/>
      <c r="S87" s="54"/>
    </row>
    <row r="88" spans="1:21" ht="30" customHeight="1" x14ac:dyDescent="0.3">
      <c r="A88" s="59"/>
      <c r="B88" s="38"/>
      <c r="C88" s="42"/>
      <c r="D88" s="43"/>
      <c r="E88" s="86"/>
      <c r="F88" s="86"/>
      <c r="G88" s="86"/>
      <c r="H88" s="86"/>
      <c r="I88" s="86"/>
      <c r="J88" s="86"/>
      <c r="K88" s="86"/>
      <c r="L88" s="44"/>
      <c r="N88" s="96"/>
      <c r="O88" s="97"/>
      <c r="P88" s="97"/>
      <c r="Q88" s="98"/>
      <c r="S88" s="54"/>
    </row>
    <row r="89" spans="1:21" ht="30" customHeight="1" x14ac:dyDescent="0.3">
      <c r="A89" s="59"/>
      <c r="B89" s="38"/>
      <c r="C89" s="42"/>
      <c r="D89" s="43"/>
      <c r="E89" s="86"/>
      <c r="F89" s="86"/>
      <c r="G89" s="86"/>
      <c r="H89" s="86"/>
      <c r="I89" s="86"/>
      <c r="J89" s="86"/>
      <c r="K89" s="86"/>
      <c r="L89" s="45"/>
      <c r="N89" s="96"/>
      <c r="O89" s="97"/>
      <c r="P89" s="97"/>
      <c r="Q89" s="98"/>
      <c r="S89" s="54"/>
    </row>
    <row r="90" spans="1:21" ht="30" customHeight="1" x14ac:dyDescent="0.3">
      <c r="A90" s="59"/>
      <c r="B90" s="38"/>
      <c r="C90" s="42"/>
      <c r="D90" s="43"/>
      <c r="E90" s="86"/>
      <c r="F90" s="86"/>
      <c r="G90" s="86"/>
      <c r="H90" s="86"/>
      <c r="I90" s="86"/>
      <c r="J90" s="86"/>
      <c r="K90" s="86"/>
      <c r="L90" s="44"/>
      <c r="N90" s="96"/>
      <c r="O90" s="97"/>
      <c r="P90" s="97"/>
      <c r="Q90" s="98"/>
      <c r="S90" s="54"/>
    </row>
    <row r="91" spans="1:21" ht="30" customHeight="1" x14ac:dyDescent="0.3">
      <c r="A91" s="59"/>
      <c r="B91" s="38"/>
      <c r="C91" s="42"/>
      <c r="D91" s="43"/>
      <c r="E91" s="86"/>
      <c r="F91" s="86"/>
      <c r="G91" s="86"/>
      <c r="H91" s="86"/>
      <c r="I91" s="86"/>
      <c r="J91" s="86"/>
      <c r="K91" s="86"/>
      <c r="L91" s="45"/>
      <c r="N91" s="96"/>
      <c r="O91" s="97"/>
      <c r="P91" s="97"/>
      <c r="Q91" s="98"/>
      <c r="S91" s="54"/>
    </row>
    <row r="92" spans="1:21" ht="30" customHeight="1" x14ac:dyDescent="0.3">
      <c r="A92" s="59"/>
      <c r="B92" s="38"/>
      <c r="C92" s="42"/>
      <c r="D92" s="43"/>
      <c r="E92" s="86"/>
      <c r="F92" s="86"/>
      <c r="G92" s="86"/>
      <c r="H92" s="86"/>
      <c r="I92" s="86"/>
      <c r="J92" s="86"/>
      <c r="K92" s="86"/>
      <c r="L92" s="44"/>
      <c r="N92" s="96"/>
      <c r="O92" s="97"/>
      <c r="P92" s="97"/>
      <c r="Q92" s="98"/>
      <c r="S92" s="54"/>
    </row>
    <row r="93" spans="1:21" ht="30" customHeight="1" x14ac:dyDescent="0.3">
      <c r="A93" s="59"/>
      <c r="B93" s="38"/>
      <c r="C93" s="42"/>
      <c r="D93" s="43"/>
      <c r="E93" s="86"/>
      <c r="F93" s="86"/>
      <c r="G93" s="86"/>
      <c r="H93" s="86"/>
      <c r="I93" s="86"/>
      <c r="J93" s="86"/>
      <c r="K93" s="86"/>
      <c r="L93" s="45"/>
      <c r="N93" s="96"/>
      <c r="O93" s="97"/>
      <c r="P93" s="97"/>
      <c r="Q93" s="98"/>
      <c r="S93" s="54"/>
    </row>
    <row r="94" spans="1:21" ht="30" customHeight="1" x14ac:dyDescent="0.3">
      <c r="A94" s="59"/>
      <c r="B94" s="38"/>
      <c r="C94" s="42"/>
      <c r="D94" s="43"/>
      <c r="E94" s="86"/>
      <c r="F94" s="86"/>
      <c r="G94" s="86"/>
      <c r="H94" s="86"/>
      <c r="I94" s="86"/>
      <c r="J94" s="86"/>
      <c r="K94" s="86"/>
      <c r="L94" s="46"/>
      <c r="N94" s="96"/>
      <c r="O94" s="97"/>
      <c r="P94" s="97"/>
      <c r="Q94" s="98"/>
      <c r="S94" s="54"/>
    </row>
    <row r="95" spans="1:21" ht="30" customHeight="1" x14ac:dyDescent="0.3">
      <c r="A95" s="59"/>
      <c r="B95" s="38"/>
      <c r="C95" s="42"/>
      <c r="D95" s="43"/>
      <c r="E95" s="86"/>
      <c r="F95" s="86"/>
      <c r="G95" s="86"/>
      <c r="H95" s="86"/>
      <c r="I95" s="86"/>
      <c r="J95" s="86"/>
      <c r="K95" s="86"/>
      <c r="L95" s="46"/>
      <c r="N95" s="96"/>
      <c r="O95" s="97"/>
      <c r="P95" s="97"/>
      <c r="Q95" s="98"/>
      <c r="S95" s="54"/>
    </row>
    <row r="96" spans="1:21" ht="30" customHeight="1" thickBot="1" x14ac:dyDescent="0.35">
      <c r="A96" s="59"/>
      <c r="B96" s="38"/>
      <c r="C96" s="47"/>
      <c r="D96" s="48"/>
      <c r="E96" s="87"/>
      <c r="F96" s="87"/>
      <c r="G96" s="87"/>
      <c r="H96" s="87"/>
      <c r="I96" s="87"/>
      <c r="J96" s="87"/>
      <c r="K96" s="87"/>
      <c r="L96" s="49"/>
      <c r="N96" s="96"/>
      <c r="O96" s="97"/>
      <c r="P96" s="97"/>
      <c r="Q96" s="98"/>
      <c r="S96" s="54"/>
    </row>
    <row r="97" spans="1:19" ht="30" customHeight="1" thickTop="1" x14ac:dyDescent="0.3">
      <c r="A97" s="59"/>
      <c r="B97" s="38"/>
      <c r="C97" s="38"/>
      <c r="D97" s="63"/>
      <c r="E97" s="63"/>
      <c r="F97" s="63"/>
      <c r="G97" s="63"/>
      <c r="H97" s="63"/>
      <c r="I97" s="63"/>
      <c r="J97" s="63"/>
      <c r="K97" s="63"/>
      <c r="L97" s="63"/>
      <c r="N97" s="64"/>
      <c r="O97" s="64"/>
      <c r="P97" s="62"/>
      <c r="Q97" s="65"/>
      <c r="S97" s="54"/>
    </row>
    <row r="98" spans="1:19" ht="30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6"/>
      <c r="O98" s="56"/>
      <c r="P98" s="54"/>
      <c r="Q98" s="57"/>
      <c r="R98" s="54"/>
      <c r="S98" s="54"/>
    </row>
  </sheetData>
  <sheetProtection sheet="1" objects="1" scenarios="1" selectLockedCells="1"/>
  <dataConsolidate/>
  <mergeCells count="127">
    <mergeCell ref="N32:Q32"/>
    <mergeCell ref="N48:Q48"/>
    <mergeCell ref="C57:D58"/>
    <mergeCell ref="C71:D72"/>
    <mergeCell ref="C85:D86"/>
    <mergeCell ref="N25:Q25"/>
    <mergeCell ref="N26:Q26"/>
    <mergeCell ref="C15:D16"/>
    <mergeCell ref="C29:D30"/>
    <mergeCell ref="C43:D44"/>
    <mergeCell ref="N20:Q20"/>
    <mergeCell ref="N21:Q21"/>
    <mergeCell ref="N22:Q22"/>
    <mergeCell ref="N23:Q23"/>
    <mergeCell ref="N24:Q24"/>
    <mergeCell ref="N15:Q15"/>
    <mergeCell ref="N16:Q16"/>
    <mergeCell ref="N17:Q17"/>
    <mergeCell ref="N18:Q18"/>
    <mergeCell ref="N19:Q19"/>
    <mergeCell ref="N53:Q53"/>
    <mergeCell ref="N54:Q54"/>
    <mergeCell ref="N29:Q29"/>
    <mergeCell ref="N30:Q30"/>
    <mergeCell ref="N31:Q31"/>
    <mergeCell ref="N46:Q46"/>
    <mergeCell ref="N47:Q47"/>
    <mergeCell ref="N33:Q33"/>
    <mergeCell ref="N34:Q34"/>
    <mergeCell ref="N35:Q35"/>
    <mergeCell ref="N36:Q36"/>
    <mergeCell ref="N37:Q37"/>
    <mergeCell ref="N38:Q38"/>
    <mergeCell ref="N39:Q39"/>
    <mergeCell ref="N40:Q40"/>
    <mergeCell ref="N81:Q81"/>
    <mergeCell ref="N82:Q82"/>
    <mergeCell ref="N57:Q57"/>
    <mergeCell ref="N58:Q58"/>
    <mergeCell ref="N59:Q59"/>
    <mergeCell ref="N60:Q60"/>
    <mergeCell ref="N61:Q61"/>
    <mergeCell ref="N62:Q62"/>
    <mergeCell ref="N63:Q63"/>
    <mergeCell ref="N64:Q64"/>
    <mergeCell ref="N65:Q65"/>
    <mergeCell ref="N66:Q66"/>
    <mergeCell ref="N67:Q67"/>
    <mergeCell ref="N68:Q68"/>
    <mergeCell ref="N76:Q76"/>
    <mergeCell ref="N77:Q77"/>
    <mergeCell ref="N78:Q78"/>
    <mergeCell ref="N79:Q79"/>
    <mergeCell ref="N80:Q80"/>
    <mergeCell ref="N71:Q71"/>
    <mergeCell ref="N72:Q72"/>
    <mergeCell ref="N73:Q73"/>
    <mergeCell ref="N74:Q74"/>
    <mergeCell ref="N75:Q75"/>
    <mergeCell ref="N92:Q92"/>
    <mergeCell ref="N93:Q93"/>
    <mergeCell ref="N94:Q94"/>
    <mergeCell ref="N95:Q95"/>
    <mergeCell ref="N96:Q96"/>
    <mergeCell ref="N87:Q87"/>
    <mergeCell ref="N88:Q88"/>
    <mergeCell ref="N89:Q89"/>
    <mergeCell ref="N90:Q90"/>
    <mergeCell ref="N91:Q91"/>
    <mergeCell ref="N84:P84"/>
    <mergeCell ref="E85:E86"/>
    <mergeCell ref="F85:F86"/>
    <mergeCell ref="G85:G86"/>
    <mergeCell ref="H85:H86"/>
    <mergeCell ref="I85:I86"/>
    <mergeCell ref="J85:J86"/>
    <mergeCell ref="K85:K86"/>
    <mergeCell ref="N85:Q85"/>
    <mergeCell ref="N86:Q86"/>
    <mergeCell ref="J43:J44"/>
    <mergeCell ref="N70:P70"/>
    <mergeCell ref="E15:E16"/>
    <mergeCell ref="F15:F16"/>
    <mergeCell ref="G15:G16"/>
    <mergeCell ref="H15:H16"/>
    <mergeCell ref="E57:E58"/>
    <mergeCell ref="F57:F58"/>
    <mergeCell ref="G57:G58"/>
    <mergeCell ref="H57:H58"/>
    <mergeCell ref="I57:I58"/>
    <mergeCell ref="J57:J58"/>
    <mergeCell ref="K57:K58"/>
    <mergeCell ref="E43:E44"/>
    <mergeCell ref="F43:F44"/>
    <mergeCell ref="G43:G44"/>
    <mergeCell ref="H43:H44"/>
    <mergeCell ref="N49:Q49"/>
    <mergeCell ref="N50:Q50"/>
    <mergeCell ref="N51:Q51"/>
    <mergeCell ref="N52:Q52"/>
    <mergeCell ref="N43:Q43"/>
    <mergeCell ref="N44:Q44"/>
    <mergeCell ref="N45:Q45"/>
    <mergeCell ref="K71:K72"/>
    <mergeCell ref="E71:E72"/>
    <mergeCell ref="F71:F72"/>
    <mergeCell ref="G71:G72"/>
    <mergeCell ref="H71:H72"/>
    <mergeCell ref="I71:I72"/>
    <mergeCell ref="J71:J72"/>
    <mergeCell ref="D5:D6"/>
    <mergeCell ref="N14:P14"/>
    <mergeCell ref="N28:P28"/>
    <mergeCell ref="N42:P42"/>
    <mergeCell ref="N56:P56"/>
    <mergeCell ref="I15:I16"/>
    <mergeCell ref="J15:J16"/>
    <mergeCell ref="K15:K16"/>
    <mergeCell ref="E29:E30"/>
    <mergeCell ref="F29:F30"/>
    <mergeCell ref="G29:G30"/>
    <mergeCell ref="H29:H30"/>
    <mergeCell ref="I29:I30"/>
    <mergeCell ref="J29:J30"/>
    <mergeCell ref="K29:K30"/>
    <mergeCell ref="K43:K44"/>
    <mergeCell ref="I43:I44"/>
  </mergeCells>
  <conditionalFormatting sqref="D17:K25">
    <cfRule type="expression" dxfId="42" priority="6">
      <formula>D17&lt;&gt;""</formula>
    </cfRule>
  </conditionalFormatting>
  <conditionalFormatting sqref="D26:K27">
    <cfRule type="expression" dxfId="41" priority="18">
      <formula>COLUMN(#REF!)&gt;2</formula>
    </cfRule>
  </conditionalFormatting>
  <conditionalFormatting sqref="D31:K39">
    <cfRule type="expression" dxfId="40" priority="5">
      <formula>D31&lt;&gt;""</formula>
    </cfRule>
  </conditionalFormatting>
  <conditionalFormatting sqref="D40:K41">
    <cfRule type="expression" dxfId="39" priority="16">
      <formula>COLUMN(#REF!)&gt;2</formula>
    </cfRule>
  </conditionalFormatting>
  <conditionalFormatting sqref="D45:K53">
    <cfRule type="expression" dxfId="38" priority="4">
      <formula>D45&lt;&gt;""</formula>
    </cfRule>
  </conditionalFormatting>
  <conditionalFormatting sqref="D54:K55">
    <cfRule type="expression" dxfId="37" priority="14">
      <formula>COLUMN(#REF!)&gt;2</formula>
    </cfRule>
  </conditionalFormatting>
  <conditionalFormatting sqref="D59:K67">
    <cfRule type="expression" dxfId="36" priority="3">
      <formula>D59&lt;&gt;""</formula>
    </cfRule>
  </conditionalFormatting>
  <conditionalFormatting sqref="D68:K69">
    <cfRule type="expression" dxfId="35" priority="12">
      <formula>COLUMN(#REF!)&gt;2</formula>
    </cfRule>
  </conditionalFormatting>
  <conditionalFormatting sqref="D73:K81">
    <cfRule type="expression" dxfId="34" priority="2">
      <formula>D73&lt;&gt;""</formula>
    </cfRule>
  </conditionalFormatting>
  <conditionalFormatting sqref="D82:K83">
    <cfRule type="expression" dxfId="33" priority="10">
      <formula>COLUMN(#REF!)&gt;2</formula>
    </cfRule>
  </conditionalFormatting>
  <conditionalFormatting sqref="D87:K95">
    <cfRule type="expression" dxfId="32" priority="1">
      <formula>D87&lt;&gt;""</formula>
    </cfRule>
  </conditionalFormatting>
  <conditionalFormatting sqref="D96:K97">
    <cfRule type="expression" dxfId="31" priority="8">
      <formula>COLUMN(#REF!)&gt;2</formula>
    </cfRule>
  </conditionalFormatting>
  <conditionalFormatting sqref="E5:J5">
    <cfRule type="expression" dxfId="30" priority="26" stopIfTrue="1">
      <formula>DAY(E5)&gt;8</formula>
    </cfRule>
  </conditionalFormatting>
  <conditionalFormatting sqref="E4:K10">
    <cfRule type="timePeriod" dxfId="29" priority="24" timePeriod="thisWeek">
      <formula>AND(TODAY()-ROUNDDOWN(E4,0)&lt;=WEEKDAY(TODAY())-1,ROUNDDOWN(E4,0)-TODAY()&lt;=7-WEEKDAY(TODAY()))</formula>
    </cfRule>
  </conditionalFormatting>
  <conditionalFormatting sqref="E5:K10">
    <cfRule type="expression" dxfId="28" priority="27">
      <formula>VLOOKUP(DAY(E5),$O:$O,1,FALSE)=DAY(E5)</formula>
    </cfRule>
  </conditionalFormatting>
  <conditionalFormatting sqref="E9:K10">
    <cfRule type="expression" dxfId="27" priority="25" stopIfTrue="1">
      <formula>AND(DAY(E9)&gt;=1,DAY(E9)&lt;=15)</formula>
    </cfRule>
  </conditionalFormatting>
  <conditionalFormatting sqref="E56:K56 E70:K70">
    <cfRule type="expression" dxfId="26" priority="48">
      <formula>COLUMN(#REF!)&gt;2</formula>
    </cfRule>
  </conditionalFormatting>
  <conditionalFormatting sqref="E84:K84">
    <cfRule type="expression" dxfId="25" priority="22">
      <formula>COLUMN(#REF!)&gt;2</formula>
    </cfRule>
  </conditionalFormatting>
  <conditionalFormatting sqref="M6:M11">
    <cfRule type="expression" dxfId="24" priority="47">
      <formula>VLOOKUP(DAY(M6),AssignmentDays,1,FALSE)=DAY(M6)</formula>
    </cfRule>
  </conditionalFormatting>
  <conditionalFormatting sqref="M10:M11">
    <cfRule type="expression" dxfId="23" priority="46" stopIfTrue="1">
      <formula>AND(DAY(M10)&gt;=1,DAY(M10)&lt;=15)</formula>
    </cfRule>
  </conditionalFormatting>
  <conditionalFormatting sqref="R72 T72:U72">
    <cfRule type="expression" dxfId="22" priority="36" stopIfTrue="1">
      <formula>AND(DAY(R72)&gt;=1,DAY(R72)&lt;=15)</formula>
    </cfRule>
    <cfRule type="expression" dxfId="21" priority="45">
      <formula>VLOOKUP(DAY(R72),$O:$O,1,FALSE)=DAY(R72)</formula>
    </cfRule>
  </conditionalFormatting>
  <conditionalFormatting sqref="R86 T86:U86">
    <cfRule type="expression" dxfId="20" priority="19" stopIfTrue="1">
      <formula>AND(DAY(R86)&gt;=1,DAY(R86)&lt;=15)</formula>
    </cfRule>
    <cfRule type="expression" dxfId="19" priority="21">
      <formula>VLOOKUP(DAY(R86),$O:$O,1,FALSE)=DAY(R86)</formula>
    </cfRule>
  </conditionalFormatting>
  <dataValidations count="10">
    <dataValidation allowBlank="1" showInputMessage="1" showErrorMessage="1" prompt="If this row contains a number less than the previous number or row of numbers, then this row contains dates for the next calendar month" sqref="E10" xr:uid="{1E7500EF-CD88-4FAB-B28E-2D4313DF5F0D}"/>
    <dataValidation allowBlank="1" showInputMessage="1" showErrorMessage="1" prompt="Weekdays are in this row, from Monday to Friday" sqref="C57 C43 C15 C71 E15:K15 E29:K29 C29 C85" xr:uid="{C692D3AB-8D4A-4E35-9276-CA5B9F1D3F9E}"/>
    <dataValidation allowBlank="1" showInputMessage="1" showErrorMessage="1" prompt="Day of the week goes in this row, starting in cell D16" sqref="A29 A15" xr:uid="{21404724-8A20-4952-864C-630695FC4E76}"/>
    <dataValidation allowBlank="1" showInputMessage="1" showErrorMessage="1" prompt="Calendar year is automatically updated in this cell. To change the calendar year, to go cell D5 in Jan worksheet." sqref="D5:D6" xr:uid="{FB6BE5A1-F899-41A0-89C3-C018969732B5}"/>
    <dataValidation allowBlank="1" showInputMessage="1" showErrorMessage="1" prompt="Calendar automatically highlights assignment list entries for the month. Darker fonts are assignments. Lighter fonts are days that belong to the previous or next month" sqref="D4" xr:uid="{3A89381A-2038-4E28-BD1C-357054EE2082}"/>
    <dataValidation allowBlank="1" showInputMessage="1" showErrorMessage="1" prompt="Enter the assignment details in this column that correspond to the weekday in column N and day in column O for the calendar month at left" sqref="N4" xr:uid="{8A9DB993-BF00-4E25-882F-4AF19AECF701}"/>
    <dataValidation allowBlank="1" showInputMessage="1" showErrorMessage="1" prompt="If this cell doesn’t contain the number 1, then it is a day from a previous month. Cells E5:K10 contain dates for the current month" sqref="E5" xr:uid="{128ACDC2-EA90-447A-BFB9-9049C75D460A}"/>
    <dataValidation allowBlank="1" showInputMessage="1" showErrorMessage="1" prompt="Cells E4:K4 contain weekdays" sqref="E4" xr:uid="{6EAEF280-9D8F-4DDF-A8CC-9BA6F3E29236}"/>
    <dataValidation allowBlank="1" showInputMessage="1" showErrorMessage="1" prompt="March calendar. Calendar year is automatically updated based on cell D5 in Jan sheet." sqref="A1" xr:uid="{AC3538F5-CDBA-4BB5-BD42-EC6D1B6385CA}"/>
    <dataValidation allowBlank="1" showInputMessage="1" showErrorMessage="1" prompt="Enter the time of your class and under it, in a new row, the class name for each weekday in columns D to K. Repeat this pattern for all classes in subsequent rows" sqref="D13" xr:uid="{0B51EF76-9FD3-4372-BA17-37B182BBF928}"/>
  </dataValidations>
  <printOptions horizontalCentered="1" verticalCentered="1"/>
  <pageMargins left="0.25" right="0.25" top="0.5" bottom="0.5" header="0.3" footer="0.3"/>
  <pageSetup scale="18" orientation="landscape" r:id="rId1"/>
  <rowBreaks count="1" manualBreakCount="1">
    <brk id="1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8020-E973-4A8F-B21D-435403DE239D}">
  <sheetPr>
    <tabColor theme="6" tint="0.39997558519241921"/>
    <pageSetUpPr fitToPage="1"/>
  </sheetPr>
  <dimension ref="A1:U84"/>
  <sheetViews>
    <sheetView showGridLines="0" topLeftCell="A15" zoomScale="59" zoomScaleNormal="100" zoomScalePageLayoutView="84" workbookViewId="0">
      <selection activeCell="N15" sqref="N15:Q15"/>
    </sheetView>
  </sheetViews>
  <sheetFormatPr defaultColWidth="8.59765625" defaultRowHeight="30" customHeight="1" x14ac:dyDescent="0.25"/>
  <cols>
    <col min="1" max="2" width="5.59765625" customWidth="1"/>
    <col min="3" max="3" width="2.59765625" customWidth="1"/>
    <col min="4" max="4" width="19.5" customWidth="1"/>
    <col min="5" max="11" width="24.59765625" customWidth="1"/>
    <col min="12" max="12" width="2.59765625" customWidth="1"/>
    <col min="13" max="13" width="5.59765625" style="11" customWidth="1"/>
    <col min="14" max="14" width="12.59765625" style="50" customWidth="1"/>
    <col min="15" max="15" width="5.59765625" style="50" customWidth="1"/>
    <col min="16" max="16" width="2.59765625" customWidth="1"/>
    <col min="17" max="17" width="70.59765625" style="12" customWidth="1"/>
    <col min="18" max="19" width="5.59765625" customWidth="1"/>
  </cols>
  <sheetData>
    <row r="1" spans="1:19" ht="30" customHeight="1" x14ac:dyDescent="0.25">
      <c r="A1" s="54"/>
      <c r="B1" s="54"/>
      <c r="C1" s="54"/>
      <c r="D1" s="55"/>
      <c r="E1" s="54"/>
      <c r="F1" s="54"/>
      <c r="G1" s="54"/>
      <c r="H1" s="54"/>
      <c r="I1" s="54"/>
      <c r="J1" s="54"/>
      <c r="K1" s="54"/>
      <c r="L1" s="54"/>
      <c r="M1" s="60"/>
      <c r="N1" s="56"/>
      <c r="O1" s="56"/>
      <c r="P1" s="54"/>
      <c r="Q1" s="57"/>
      <c r="R1" s="54"/>
      <c r="S1" s="54"/>
    </row>
    <row r="2" spans="1:19" ht="30" customHeight="1" thickBot="1" x14ac:dyDescent="0.3">
      <c r="A2" s="54"/>
      <c r="D2" s="10"/>
      <c r="E2" s="10"/>
      <c r="F2" s="10"/>
      <c r="G2" s="10"/>
      <c r="H2" s="10"/>
      <c r="I2" s="10"/>
      <c r="J2" s="10"/>
      <c r="K2" s="10"/>
      <c r="N2"/>
      <c r="O2"/>
      <c r="S2" s="54"/>
    </row>
    <row r="3" spans="1:19" ht="30" customHeight="1" thickTop="1" x14ac:dyDescent="0.3">
      <c r="A3" s="54"/>
      <c r="C3" s="14"/>
      <c r="D3" s="15"/>
      <c r="E3" s="15"/>
      <c r="F3" s="15"/>
      <c r="G3" s="15"/>
      <c r="H3" s="15"/>
      <c r="I3" s="15"/>
      <c r="J3" s="15"/>
      <c r="K3" s="15"/>
      <c r="L3" s="16"/>
      <c r="N3" s="68"/>
      <c r="O3" s="64"/>
      <c r="P3" s="69"/>
      <c r="Q3" s="70"/>
      <c r="S3" s="54"/>
    </row>
    <row r="4" spans="1:19" ht="35.1" customHeight="1" x14ac:dyDescent="0.25">
      <c r="A4" s="54"/>
      <c r="C4" s="17"/>
      <c r="D4" s="1" t="s">
        <v>19</v>
      </c>
      <c r="E4" s="18" t="s">
        <v>1</v>
      </c>
      <c r="F4" s="18" t="s">
        <v>2</v>
      </c>
      <c r="G4" s="18" t="s">
        <v>3</v>
      </c>
      <c r="H4" s="18" t="s">
        <v>4</v>
      </c>
      <c r="I4" s="18" t="s">
        <v>5</v>
      </c>
      <c r="J4" s="18" t="s">
        <v>6</v>
      </c>
      <c r="K4" s="18" t="s">
        <v>7</v>
      </c>
      <c r="L4" s="19"/>
      <c r="N4" s="71"/>
      <c r="O4" s="69"/>
      <c r="P4" s="69"/>
      <c r="Q4" s="72"/>
      <c r="S4" s="54"/>
    </row>
    <row r="5" spans="1:19" ht="30" customHeight="1" x14ac:dyDescent="0.3">
      <c r="A5" s="58"/>
      <c r="B5" s="21"/>
      <c r="C5" s="22"/>
      <c r="D5" s="94">
        <f ca="1">CalendarYear</f>
        <v>2026</v>
      </c>
      <c r="E5" s="3">
        <f ca="1">IF(DAY(DecSun1)=1,DecSun1-6,DecSun1+1)</f>
        <v>46356</v>
      </c>
      <c r="F5" s="3">
        <f ca="1">IF(DAY(DecSun1)=1,DecSun1-5,DecSun1+2)</f>
        <v>46357</v>
      </c>
      <c r="G5" s="3">
        <f ca="1">IF(DAY(DecSun1)=1,DecSun1-4,DecSun1+3)</f>
        <v>46358</v>
      </c>
      <c r="H5" s="3">
        <f ca="1">IF(DAY(DecSun1)=1,DecSun1-3,DecSun1+4)</f>
        <v>46359</v>
      </c>
      <c r="I5" s="3">
        <f ca="1">IF(DAY(DecSun1)=1,DecSun1-2,DecSun1+5)</f>
        <v>46360</v>
      </c>
      <c r="J5" s="3">
        <f ca="1">IF(DAY(DecSun1)=1,DecSun1-1,DecSun1+6)</f>
        <v>46361</v>
      </c>
      <c r="K5" s="3">
        <f ca="1">IF(DAY(DecSun1)=1,DecSun1,DecSun1+7)</f>
        <v>46362</v>
      </c>
      <c r="L5" s="24"/>
      <c r="M5" s="25"/>
      <c r="N5" s="68"/>
      <c r="O5" s="69"/>
      <c r="P5" s="69"/>
      <c r="Q5" s="70"/>
      <c r="S5" s="54"/>
    </row>
    <row r="6" spans="1:19" ht="30" customHeight="1" x14ac:dyDescent="0.3">
      <c r="A6" s="58"/>
      <c r="B6" s="21"/>
      <c r="C6" s="22"/>
      <c r="D6" s="94"/>
      <c r="E6" s="3">
        <f ca="1">IF(DAY(DecSun1)=1,DecSun1+1,DecSun1+8)</f>
        <v>46363</v>
      </c>
      <c r="F6" s="3">
        <f ca="1">IF(DAY(DecSun1)=1,DecSun1+2,DecSun1+9)</f>
        <v>46364</v>
      </c>
      <c r="G6" s="3">
        <f ca="1">IF(DAY(DecSun1)=1,DecSun1+3,DecSun1+10)</f>
        <v>46365</v>
      </c>
      <c r="H6" s="3">
        <f ca="1">IF(DAY(DecSun1)=1,DecSun1+4,DecSun1+11)</f>
        <v>46366</v>
      </c>
      <c r="I6" s="3">
        <f ca="1">IF(DAY(DecSun1)=1,DecSun1+5,DecSun1+12)</f>
        <v>46367</v>
      </c>
      <c r="J6" s="3">
        <f ca="1">IF(DAY(DecSun1)=1,DecSun1+6,DecSun1+13)</f>
        <v>46368</v>
      </c>
      <c r="K6" s="3">
        <f ca="1">IF(DAY(DecSun1)=1,DecSun1+7,DecSun1+14)</f>
        <v>46369</v>
      </c>
      <c r="L6" s="24"/>
      <c r="M6" s="26"/>
      <c r="N6" s="73"/>
      <c r="O6" s="74"/>
      <c r="P6" s="74"/>
      <c r="Q6" s="70"/>
      <c r="S6" s="54"/>
    </row>
    <row r="7" spans="1:19" ht="30" customHeight="1" x14ac:dyDescent="0.25">
      <c r="A7" s="58"/>
      <c r="B7" s="21"/>
      <c r="C7" s="22"/>
      <c r="D7" s="27"/>
      <c r="E7" s="3">
        <f ca="1">IF(DAY(DecSun1)=1,DecSun1+8,DecSun1+15)</f>
        <v>46370</v>
      </c>
      <c r="F7" s="3">
        <f ca="1">IF(DAY(DecSun1)=1,DecSun1+9,DecSun1+16)</f>
        <v>46371</v>
      </c>
      <c r="G7" s="3">
        <f ca="1">IF(DAY(DecSun1)=1,DecSun1+10,DecSun1+17)</f>
        <v>46372</v>
      </c>
      <c r="H7" s="3">
        <f ca="1">IF(DAY(DecSun1)=1,DecSun1+11,DecSun1+18)</f>
        <v>46373</v>
      </c>
      <c r="I7" s="3">
        <f ca="1">IF(DAY(DecSun1)=1,DecSun1+12,DecSun1+19)</f>
        <v>46374</v>
      </c>
      <c r="J7" s="3">
        <f ca="1">IF(DAY(DecSun1)=1,DecSun1+13,DecSun1+20)</f>
        <v>46375</v>
      </c>
      <c r="K7" s="3">
        <f ca="1">IF(DAY(DecSun1)=1,DecSun1+14,DecSun1+21)</f>
        <v>46376</v>
      </c>
      <c r="L7" s="24"/>
      <c r="M7" s="26"/>
      <c r="N7" s="75"/>
      <c r="O7" s="76"/>
      <c r="P7" s="76"/>
      <c r="Q7" s="70"/>
      <c r="S7" s="54"/>
    </row>
    <row r="8" spans="1:19" ht="30" customHeight="1" x14ac:dyDescent="0.3">
      <c r="A8" s="58"/>
      <c r="B8" s="21"/>
      <c r="C8" s="22"/>
      <c r="D8" s="27"/>
      <c r="E8" s="3">
        <f ca="1">IF(DAY(DecSun1)=1,DecSun1+15,DecSun1+22)</f>
        <v>46377</v>
      </c>
      <c r="F8" s="3">
        <f ca="1">IF(DAY(DecSun1)=1,DecSun1+16,DecSun1+23)</f>
        <v>46378</v>
      </c>
      <c r="G8" s="3">
        <f ca="1">IF(DAY(DecSun1)=1,DecSun1+17,DecSun1+24)</f>
        <v>46379</v>
      </c>
      <c r="H8" s="3">
        <f ca="1">IF(DAY(DecSun1)=1,DecSun1+18,DecSun1+25)</f>
        <v>46380</v>
      </c>
      <c r="I8" s="3">
        <f ca="1">IF(DAY(DecSun1)=1,DecSun1+19,DecSun1+26)</f>
        <v>46381</v>
      </c>
      <c r="J8" s="3">
        <f ca="1">IF(DAY(DecSun1)=1,DecSun1+20,DecSun1+27)</f>
        <v>46382</v>
      </c>
      <c r="K8" s="3">
        <f ca="1">IF(DAY(DecSun1)=1,DecSun1+21,DecSun1+28)</f>
        <v>46383</v>
      </c>
      <c r="L8" s="24"/>
      <c r="M8" s="26"/>
      <c r="N8" s="77"/>
      <c r="O8" s="62"/>
      <c r="P8" s="62"/>
      <c r="Q8" s="70"/>
      <c r="S8" s="54"/>
    </row>
    <row r="9" spans="1:19" ht="30" customHeight="1" x14ac:dyDescent="0.3">
      <c r="A9" s="58"/>
      <c r="B9" s="21"/>
      <c r="C9" s="22"/>
      <c r="D9" s="27"/>
      <c r="E9" s="3">
        <f ca="1">IF(DAY(DecSun1)=1,DecSun1+22,DecSun1+29)</f>
        <v>46384</v>
      </c>
      <c r="F9" s="3">
        <f ca="1">IF(DAY(DecSun1)=1,DecSun1+23,DecSun1+30)</f>
        <v>46385</v>
      </c>
      <c r="G9" s="3">
        <f ca="1">IF(DAY(DecSun1)=1,DecSun1+24,DecSun1+31)</f>
        <v>46386</v>
      </c>
      <c r="H9" s="3">
        <f ca="1">IF(DAY(DecSun1)=1,DecSun1+25,DecSun1+32)</f>
        <v>46387</v>
      </c>
      <c r="I9" s="3">
        <f ca="1">IF(DAY(DecSun1)=1,DecSun1+26,DecSun1+33)</f>
        <v>46388</v>
      </c>
      <c r="J9" s="3">
        <f ca="1">IF(DAY(DecSun1)=1,DecSun1+27,DecSun1+34)</f>
        <v>46389</v>
      </c>
      <c r="K9" s="3">
        <f ca="1">IF(DAY(DecSun1)=1,DecSun1+28,DecSun1+35)</f>
        <v>46390</v>
      </c>
      <c r="L9" s="24"/>
      <c r="M9" s="26"/>
      <c r="N9" s="77"/>
      <c r="O9" s="62"/>
      <c r="P9" s="62"/>
      <c r="Q9" s="70"/>
      <c r="S9" s="54"/>
    </row>
    <row r="10" spans="1:19" ht="30" customHeight="1" x14ac:dyDescent="0.3">
      <c r="A10" s="58"/>
      <c r="B10" s="21"/>
      <c r="C10" s="22"/>
      <c r="D10" s="27"/>
      <c r="E10" s="3">
        <f ca="1">IF(DAY(DecSun1)=1,DecSun1+29,DecSun1+36)</f>
        <v>46391</v>
      </c>
      <c r="F10" s="3">
        <f ca="1">IF(DAY(DecSun1)=1,DecSun1+30,DecSun1+37)</f>
        <v>46392</v>
      </c>
      <c r="G10" s="3">
        <f ca="1">IF(DAY(DecSun1)=1,DecSun1+31,DecSun1+38)</f>
        <v>46393</v>
      </c>
      <c r="H10" s="3">
        <f ca="1">IF(DAY(DecSun1)=1,DecSun1+32,DecSun1+39)</f>
        <v>46394</v>
      </c>
      <c r="I10" s="3">
        <f ca="1">IF(DAY(DecSun1)=1,DecSun1+33,DecSun1+40)</f>
        <v>46395</v>
      </c>
      <c r="J10" s="3">
        <f ca="1">IF(DAY(DecSun1)=1,DecSun1+34,DecSun1+41)</f>
        <v>46396</v>
      </c>
      <c r="K10" s="3">
        <f ca="1">IF(DAY(DecSun1)=1,DecSun1+35,DecSun1+42)</f>
        <v>46397</v>
      </c>
      <c r="L10" s="30"/>
      <c r="M10" s="26"/>
      <c r="N10" s="77"/>
      <c r="O10" s="62"/>
      <c r="P10" s="62"/>
      <c r="Q10" s="78"/>
      <c r="S10" s="54"/>
    </row>
    <row r="11" spans="1:19" ht="30" customHeight="1" thickBot="1" x14ac:dyDescent="0.35">
      <c r="A11" s="58"/>
      <c r="B11" s="21"/>
      <c r="C11" s="31"/>
      <c r="D11" s="10"/>
      <c r="E11" s="10"/>
      <c r="F11" s="10"/>
      <c r="G11" s="10"/>
      <c r="H11" s="10"/>
      <c r="I11" s="10"/>
      <c r="J11" s="10"/>
      <c r="K11" s="10"/>
      <c r="L11" s="32"/>
      <c r="M11" s="33"/>
      <c r="N11" s="77"/>
      <c r="O11" s="62"/>
      <c r="P11" s="62"/>
      <c r="Q11" s="78"/>
      <c r="S11" s="54"/>
    </row>
    <row r="12" spans="1:19" ht="30" customHeight="1" thickTop="1" x14ac:dyDescent="0.25">
      <c r="A12" s="58"/>
      <c r="B12" s="21"/>
      <c r="C12" s="21"/>
      <c r="D12" s="34"/>
      <c r="E12" s="15"/>
      <c r="F12" s="15"/>
      <c r="G12" s="15"/>
      <c r="H12" s="15"/>
      <c r="I12" s="15"/>
      <c r="J12" s="15"/>
      <c r="K12" s="15"/>
      <c r="N12" s="75"/>
      <c r="O12" s="76"/>
      <c r="P12" s="76"/>
      <c r="Q12" s="65"/>
      <c r="S12" s="54"/>
    </row>
    <row r="13" spans="1:19" ht="30" customHeight="1" x14ac:dyDescent="0.25">
      <c r="A13" s="58"/>
      <c r="B13" s="21"/>
      <c r="C13" s="21"/>
      <c r="D13" s="2" t="s">
        <v>8</v>
      </c>
      <c r="E13" s="35"/>
      <c r="F13" s="35"/>
      <c r="G13" s="35"/>
      <c r="H13" s="35"/>
      <c r="I13" s="35"/>
      <c r="J13" s="35"/>
      <c r="K13" s="35"/>
      <c r="N13" s="75"/>
      <c r="O13" s="76"/>
      <c r="P13" s="76"/>
      <c r="Q13" s="65"/>
      <c r="S13" s="58"/>
    </row>
    <row r="14" spans="1:19" ht="30" customHeight="1" thickBot="1" x14ac:dyDescent="0.45">
      <c r="A14" s="58"/>
      <c r="B14" s="21"/>
      <c r="C14" s="21"/>
      <c r="D14" s="84"/>
      <c r="E14" s="37"/>
      <c r="F14" s="37"/>
      <c r="G14" s="37"/>
      <c r="H14" s="37"/>
      <c r="I14" s="37"/>
      <c r="J14" s="37"/>
      <c r="K14" s="37"/>
      <c r="L14" s="37"/>
      <c r="M14" s="36"/>
      <c r="N14" s="95" t="s">
        <v>20</v>
      </c>
      <c r="O14" s="95"/>
      <c r="P14" s="95"/>
      <c r="Q14" s="65"/>
      <c r="S14" s="54"/>
    </row>
    <row r="15" spans="1:19" ht="30" customHeight="1" thickTop="1" x14ac:dyDescent="0.3">
      <c r="A15" s="59"/>
      <c r="B15" s="38"/>
      <c r="C15" s="88" t="s">
        <v>20</v>
      </c>
      <c r="D15" s="89"/>
      <c r="E15" s="81"/>
      <c r="F15" s="92" t="str">
        <f t="shared" ref="F15:K15" ca="1" si="0">TEXT(F5, "ddd dd/mm")</f>
        <v>Tue 01/12</v>
      </c>
      <c r="G15" s="92" t="str">
        <f t="shared" ca="1" si="0"/>
        <v>Wed 02/12</v>
      </c>
      <c r="H15" s="92" t="str">
        <f t="shared" ca="1" si="0"/>
        <v>Thu 03/12</v>
      </c>
      <c r="I15" s="92" t="str">
        <f t="shared" ca="1" si="0"/>
        <v>Fri 04/12</v>
      </c>
      <c r="J15" s="92" t="str">
        <f t="shared" ca="1" si="0"/>
        <v>Sat 05/12</v>
      </c>
      <c r="K15" s="92" t="str">
        <f t="shared" ca="1" si="0"/>
        <v>Sun 06/12</v>
      </c>
      <c r="L15" s="39"/>
      <c r="M15" s="40"/>
      <c r="N15" s="96"/>
      <c r="O15" s="97"/>
      <c r="P15" s="97"/>
      <c r="Q15" s="98"/>
      <c r="S15" s="54"/>
    </row>
    <row r="16" spans="1:19" ht="30" customHeight="1" x14ac:dyDescent="0.3">
      <c r="A16" s="59"/>
      <c r="B16" s="38"/>
      <c r="C16" s="90"/>
      <c r="D16" s="91"/>
      <c r="E16" s="80"/>
      <c r="F16" s="93"/>
      <c r="G16" s="93"/>
      <c r="H16" s="93"/>
      <c r="I16" s="93"/>
      <c r="J16" s="93"/>
      <c r="K16" s="93"/>
      <c r="L16" s="41"/>
      <c r="N16" s="96"/>
      <c r="O16" s="97"/>
      <c r="P16" s="97"/>
      <c r="Q16" s="98"/>
      <c r="S16" s="54"/>
    </row>
    <row r="17" spans="1:19" ht="30" customHeight="1" x14ac:dyDescent="0.3">
      <c r="A17" s="59"/>
      <c r="B17" s="38"/>
      <c r="C17" s="42"/>
      <c r="D17" s="43"/>
      <c r="E17" s="86"/>
      <c r="F17" s="86"/>
      <c r="G17" s="86"/>
      <c r="H17" s="86"/>
      <c r="I17" s="86"/>
      <c r="J17" s="86"/>
      <c r="K17" s="86"/>
      <c r="L17" s="66"/>
      <c r="M17" s="67"/>
      <c r="N17" s="96"/>
      <c r="O17" s="97"/>
      <c r="P17" s="97"/>
      <c r="Q17" s="98"/>
      <c r="S17" s="54"/>
    </row>
    <row r="18" spans="1:19" ht="30" customHeight="1" x14ac:dyDescent="0.3">
      <c r="A18" s="59"/>
      <c r="B18" s="38"/>
      <c r="C18" s="42"/>
      <c r="D18" s="43"/>
      <c r="E18" s="86"/>
      <c r="F18" s="86"/>
      <c r="G18" s="86"/>
      <c r="H18" s="86"/>
      <c r="I18" s="86"/>
      <c r="J18" s="86"/>
      <c r="K18" s="86"/>
      <c r="L18" s="44"/>
      <c r="N18" s="96"/>
      <c r="O18" s="97"/>
      <c r="P18" s="97"/>
      <c r="Q18" s="98"/>
      <c r="S18" s="54"/>
    </row>
    <row r="19" spans="1:19" ht="30" customHeight="1" x14ac:dyDescent="0.3">
      <c r="A19" s="59"/>
      <c r="B19" s="38"/>
      <c r="C19" s="42"/>
      <c r="D19" s="43"/>
      <c r="E19" s="86"/>
      <c r="F19" s="86"/>
      <c r="G19" s="86"/>
      <c r="H19" s="86"/>
      <c r="I19" s="86"/>
      <c r="J19" s="86"/>
      <c r="K19" s="86"/>
      <c r="L19" s="45"/>
      <c r="N19" s="96"/>
      <c r="O19" s="97"/>
      <c r="P19" s="97"/>
      <c r="Q19" s="98"/>
      <c r="S19" s="54"/>
    </row>
    <row r="20" spans="1:19" ht="30" customHeight="1" x14ac:dyDescent="0.3">
      <c r="A20" s="59"/>
      <c r="B20" s="38"/>
      <c r="C20" s="42"/>
      <c r="D20" s="43"/>
      <c r="E20" s="86"/>
      <c r="F20" s="86"/>
      <c r="G20" s="86"/>
      <c r="H20" s="86"/>
      <c r="I20" s="86"/>
      <c r="J20" s="86"/>
      <c r="K20" s="86"/>
      <c r="L20" s="44"/>
      <c r="N20" s="96"/>
      <c r="O20" s="97"/>
      <c r="P20" s="97"/>
      <c r="Q20" s="98"/>
      <c r="S20" s="54"/>
    </row>
    <row r="21" spans="1:19" ht="30" customHeight="1" x14ac:dyDescent="0.3">
      <c r="A21" s="59"/>
      <c r="B21" s="38"/>
      <c r="C21" s="42"/>
      <c r="D21" s="43"/>
      <c r="E21" s="86"/>
      <c r="F21" s="86"/>
      <c r="G21" s="86"/>
      <c r="H21" s="86"/>
      <c r="I21" s="86"/>
      <c r="J21" s="86"/>
      <c r="K21" s="86"/>
      <c r="L21" s="45"/>
      <c r="N21" s="96"/>
      <c r="O21" s="97"/>
      <c r="P21" s="97"/>
      <c r="Q21" s="98"/>
      <c r="S21" s="54"/>
    </row>
    <row r="22" spans="1:19" ht="30" customHeight="1" x14ac:dyDescent="0.3">
      <c r="A22" s="59"/>
      <c r="B22" s="38"/>
      <c r="C22" s="42"/>
      <c r="D22" s="43"/>
      <c r="E22" s="86"/>
      <c r="F22" s="86"/>
      <c r="G22" s="86"/>
      <c r="H22" s="86"/>
      <c r="I22" s="86"/>
      <c r="J22" s="86"/>
      <c r="K22" s="86"/>
      <c r="L22" s="44"/>
      <c r="N22" s="96"/>
      <c r="O22" s="97"/>
      <c r="P22" s="97"/>
      <c r="Q22" s="98"/>
      <c r="S22" s="54"/>
    </row>
    <row r="23" spans="1:19" ht="30" customHeight="1" x14ac:dyDescent="0.3">
      <c r="A23" s="59"/>
      <c r="B23" s="38"/>
      <c r="C23" s="42"/>
      <c r="D23" s="43"/>
      <c r="E23" s="86"/>
      <c r="F23" s="86"/>
      <c r="G23" s="86"/>
      <c r="H23" s="86"/>
      <c r="I23" s="86"/>
      <c r="J23" s="86"/>
      <c r="K23" s="86"/>
      <c r="L23" s="45"/>
      <c r="N23" s="96"/>
      <c r="O23" s="97"/>
      <c r="P23" s="97"/>
      <c r="Q23" s="98"/>
      <c r="S23" s="54"/>
    </row>
    <row r="24" spans="1:19" ht="30" customHeight="1" x14ac:dyDescent="0.3">
      <c r="A24" s="59"/>
      <c r="B24" s="38"/>
      <c r="C24" s="42"/>
      <c r="D24" s="43"/>
      <c r="E24" s="86"/>
      <c r="F24" s="86"/>
      <c r="G24" s="86"/>
      <c r="H24" s="86"/>
      <c r="I24" s="86"/>
      <c r="J24" s="86"/>
      <c r="K24" s="86"/>
      <c r="L24" s="46"/>
      <c r="N24" s="96"/>
      <c r="O24" s="97"/>
      <c r="P24" s="97"/>
      <c r="Q24" s="98"/>
      <c r="S24" s="54"/>
    </row>
    <row r="25" spans="1:19" ht="30" customHeight="1" x14ac:dyDescent="0.3">
      <c r="A25" s="59"/>
      <c r="B25" s="38"/>
      <c r="C25" s="42"/>
      <c r="D25" s="43"/>
      <c r="E25" s="86"/>
      <c r="F25" s="86"/>
      <c r="G25" s="86"/>
      <c r="H25" s="86"/>
      <c r="I25" s="86"/>
      <c r="J25" s="86"/>
      <c r="K25" s="86"/>
      <c r="L25" s="46"/>
      <c r="N25" s="96"/>
      <c r="O25" s="97"/>
      <c r="P25" s="97"/>
      <c r="Q25" s="98"/>
      <c r="S25" s="54"/>
    </row>
    <row r="26" spans="1:19" ht="30" customHeight="1" thickBot="1" x14ac:dyDescent="0.35">
      <c r="A26" s="59"/>
      <c r="B26" s="38"/>
      <c r="C26" s="47"/>
      <c r="D26" s="48"/>
      <c r="E26" s="87"/>
      <c r="F26" s="87"/>
      <c r="G26" s="87"/>
      <c r="H26" s="87"/>
      <c r="I26" s="87"/>
      <c r="J26" s="87"/>
      <c r="K26" s="87"/>
      <c r="L26" s="49"/>
      <c r="N26" s="96"/>
      <c r="O26" s="97"/>
      <c r="P26" s="97"/>
      <c r="Q26" s="98"/>
      <c r="S26" s="54"/>
    </row>
    <row r="27" spans="1:19" ht="30" customHeight="1" thickTop="1" x14ac:dyDescent="0.3">
      <c r="A27" s="59"/>
      <c r="B27" s="38"/>
      <c r="C27" s="38"/>
      <c r="D27" s="63"/>
      <c r="E27" s="63"/>
      <c r="F27" s="63"/>
      <c r="G27" s="63"/>
      <c r="H27" s="63"/>
      <c r="I27" s="63"/>
      <c r="J27" s="63"/>
      <c r="K27" s="63"/>
      <c r="L27" s="63"/>
      <c r="N27" s="64"/>
      <c r="O27" s="64"/>
      <c r="P27" s="62"/>
      <c r="Q27" s="65"/>
      <c r="S27" s="54"/>
    </row>
    <row r="28" spans="1:19" ht="30" customHeight="1" thickBot="1" x14ac:dyDescent="0.45">
      <c r="A28" s="58"/>
      <c r="B28" s="21"/>
      <c r="C28" s="21"/>
      <c r="D28" s="84"/>
      <c r="E28" s="37"/>
      <c r="F28" s="37"/>
      <c r="G28" s="37"/>
      <c r="H28" s="37"/>
      <c r="I28" s="37"/>
      <c r="J28" s="37"/>
      <c r="K28" s="37"/>
      <c r="L28" s="37"/>
      <c r="M28" s="36"/>
      <c r="N28" s="95" t="s">
        <v>21</v>
      </c>
      <c r="O28" s="95"/>
      <c r="P28" s="95"/>
      <c r="Q28" s="65"/>
      <c r="S28" s="54"/>
    </row>
    <row r="29" spans="1:19" ht="30" customHeight="1" thickTop="1" x14ac:dyDescent="0.3">
      <c r="A29" s="59"/>
      <c r="B29" s="38"/>
      <c r="C29" s="88" t="s">
        <v>21</v>
      </c>
      <c r="D29" s="89"/>
      <c r="E29" s="92" t="str">
        <f ca="1">TEXT(E6, "ddd dd/mm")</f>
        <v>Mon 07/12</v>
      </c>
      <c r="F29" s="92" t="str">
        <f t="shared" ref="F29:J29" ca="1" si="1">TEXT(F6, "ddd dd/mm")</f>
        <v>Tue 08/12</v>
      </c>
      <c r="G29" s="92" t="str">
        <f t="shared" ca="1" si="1"/>
        <v>Wed 09/12</v>
      </c>
      <c r="H29" s="92" t="str">
        <f t="shared" ca="1" si="1"/>
        <v>Thu 10/12</v>
      </c>
      <c r="I29" s="92" t="str">
        <f t="shared" ca="1" si="1"/>
        <v>Fri 11/12</v>
      </c>
      <c r="J29" s="92" t="str">
        <f t="shared" ca="1" si="1"/>
        <v>Sat 12/12</v>
      </c>
      <c r="K29" s="92" t="str">
        <f ca="1">TEXT(K6, "ddd dd/mm")</f>
        <v>Sun 13/12</v>
      </c>
      <c r="L29" s="39"/>
      <c r="M29" s="40"/>
      <c r="N29" s="96"/>
      <c r="O29" s="97"/>
      <c r="P29" s="97"/>
      <c r="Q29" s="98"/>
      <c r="S29" s="54"/>
    </row>
    <row r="30" spans="1:19" ht="30" customHeight="1" x14ac:dyDescent="0.3">
      <c r="A30" s="59"/>
      <c r="B30" s="38"/>
      <c r="C30" s="90"/>
      <c r="D30" s="91"/>
      <c r="E30" s="93"/>
      <c r="F30" s="93"/>
      <c r="G30" s="93"/>
      <c r="H30" s="93"/>
      <c r="I30" s="93"/>
      <c r="J30" s="93"/>
      <c r="K30" s="93"/>
      <c r="L30" s="41"/>
      <c r="N30" s="96"/>
      <c r="O30" s="97"/>
      <c r="P30" s="97"/>
      <c r="Q30" s="98"/>
      <c r="S30" s="54"/>
    </row>
    <row r="31" spans="1:19" ht="30" customHeight="1" x14ac:dyDescent="0.3">
      <c r="A31" s="59"/>
      <c r="B31" s="38"/>
      <c r="C31" s="42"/>
      <c r="D31" s="43"/>
      <c r="E31" s="86"/>
      <c r="F31" s="86"/>
      <c r="G31" s="86"/>
      <c r="H31" s="86"/>
      <c r="I31" s="86"/>
      <c r="J31" s="86"/>
      <c r="K31" s="86"/>
      <c r="L31" s="66"/>
      <c r="M31" s="67"/>
      <c r="N31" s="96"/>
      <c r="O31" s="97"/>
      <c r="P31" s="97"/>
      <c r="Q31" s="98"/>
      <c r="S31" s="54"/>
    </row>
    <row r="32" spans="1:19" ht="30" customHeight="1" x14ac:dyDescent="0.3">
      <c r="A32" s="59"/>
      <c r="B32" s="38"/>
      <c r="C32" s="42"/>
      <c r="D32" s="43"/>
      <c r="E32" s="86"/>
      <c r="F32" s="86"/>
      <c r="G32" s="86"/>
      <c r="H32" s="86"/>
      <c r="I32" s="86"/>
      <c r="J32" s="86"/>
      <c r="K32" s="86"/>
      <c r="L32" s="44"/>
      <c r="N32" s="96"/>
      <c r="O32" s="97"/>
      <c r="P32" s="97"/>
      <c r="Q32" s="98"/>
      <c r="S32" s="54"/>
    </row>
    <row r="33" spans="1:19" ht="30" customHeight="1" x14ac:dyDescent="0.3">
      <c r="A33" s="59"/>
      <c r="B33" s="38"/>
      <c r="C33" s="42"/>
      <c r="D33" s="43"/>
      <c r="E33" s="86"/>
      <c r="F33" s="86"/>
      <c r="G33" s="86"/>
      <c r="H33" s="86"/>
      <c r="I33" s="86"/>
      <c r="J33" s="86"/>
      <c r="K33" s="86"/>
      <c r="L33" s="45"/>
      <c r="N33" s="96"/>
      <c r="O33" s="97"/>
      <c r="P33" s="97"/>
      <c r="Q33" s="98"/>
      <c r="S33" s="54"/>
    </row>
    <row r="34" spans="1:19" ht="30" customHeight="1" x14ac:dyDescent="0.3">
      <c r="A34" s="59"/>
      <c r="B34" s="38"/>
      <c r="C34" s="42"/>
      <c r="D34" s="43"/>
      <c r="E34" s="86"/>
      <c r="F34" s="86"/>
      <c r="G34" s="86"/>
      <c r="H34" s="86"/>
      <c r="I34" s="86"/>
      <c r="J34" s="86"/>
      <c r="K34" s="86"/>
      <c r="L34" s="44"/>
      <c r="N34" s="96"/>
      <c r="O34" s="97"/>
      <c r="P34" s="97"/>
      <c r="Q34" s="98"/>
      <c r="S34" s="54"/>
    </row>
    <row r="35" spans="1:19" ht="30" customHeight="1" x14ac:dyDescent="0.3">
      <c r="A35" s="59"/>
      <c r="B35" s="38"/>
      <c r="C35" s="42"/>
      <c r="D35" s="43"/>
      <c r="E35" s="86"/>
      <c r="F35" s="86"/>
      <c r="G35" s="86"/>
      <c r="H35" s="86"/>
      <c r="I35" s="86"/>
      <c r="J35" s="86"/>
      <c r="K35" s="86"/>
      <c r="L35" s="45"/>
      <c r="N35" s="96"/>
      <c r="O35" s="97"/>
      <c r="P35" s="97"/>
      <c r="Q35" s="98"/>
      <c r="S35" s="54"/>
    </row>
    <row r="36" spans="1:19" ht="30" customHeight="1" x14ac:dyDescent="0.3">
      <c r="A36" s="59"/>
      <c r="B36" s="38"/>
      <c r="C36" s="42"/>
      <c r="D36" s="43"/>
      <c r="E36" s="86"/>
      <c r="F36" s="86"/>
      <c r="G36" s="86"/>
      <c r="H36" s="86"/>
      <c r="I36" s="86"/>
      <c r="J36" s="86"/>
      <c r="K36" s="86"/>
      <c r="L36" s="44"/>
      <c r="N36" s="96"/>
      <c r="O36" s="97"/>
      <c r="P36" s="97"/>
      <c r="Q36" s="98"/>
      <c r="S36" s="54"/>
    </row>
    <row r="37" spans="1:19" ht="30" customHeight="1" x14ac:dyDescent="0.3">
      <c r="A37" s="59"/>
      <c r="B37" s="38"/>
      <c r="C37" s="42"/>
      <c r="D37" s="43"/>
      <c r="E37" s="86"/>
      <c r="F37" s="86"/>
      <c r="G37" s="86"/>
      <c r="H37" s="86"/>
      <c r="I37" s="86"/>
      <c r="J37" s="86"/>
      <c r="K37" s="86"/>
      <c r="L37" s="45"/>
      <c r="N37" s="96"/>
      <c r="O37" s="97"/>
      <c r="P37" s="97"/>
      <c r="Q37" s="98"/>
      <c r="S37" s="54"/>
    </row>
    <row r="38" spans="1:19" ht="30" customHeight="1" x14ac:dyDescent="0.3">
      <c r="A38" s="59"/>
      <c r="B38" s="38"/>
      <c r="C38" s="42"/>
      <c r="D38" s="43"/>
      <c r="E38" s="86"/>
      <c r="F38" s="86"/>
      <c r="G38" s="86"/>
      <c r="H38" s="86"/>
      <c r="I38" s="86"/>
      <c r="J38" s="86"/>
      <c r="K38" s="86"/>
      <c r="L38" s="46"/>
      <c r="N38" s="96"/>
      <c r="O38" s="97"/>
      <c r="P38" s="97"/>
      <c r="Q38" s="98"/>
      <c r="S38" s="54"/>
    </row>
    <row r="39" spans="1:19" ht="30" customHeight="1" x14ac:dyDescent="0.3">
      <c r="A39" s="59"/>
      <c r="B39" s="38"/>
      <c r="C39" s="42"/>
      <c r="D39" s="43"/>
      <c r="E39" s="86"/>
      <c r="F39" s="86"/>
      <c r="G39" s="86"/>
      <c r="H39" s="86"/>
      <c r="I39" s="86"/>
      <c r="J39" s="86"/>
      <c r="K39" s="86"/>
      <c r="L39" s="46"/>
      <c r="N39" s="96"/>
      <c r="O39" s="97"/>
      <c r="P39" s="97"/>
      <c r="Q39" s="98"/>
      <c r="S39" s="54"/>
    </row>
    <row r="40" spans="1:19" ht="30" customHeight="1" thickBot="1" x14ac:dyDescent="0.35">
      <c r="A40" s="59"/>
      <c r="B40" s="38"/>
      <c r="C40" s="47"/>
      <c r="D40" s="48"/>
      <c r="E40" s="87"/>
      <c r="F40" s="87"/>
      <c r="G40" s="87"/>
      <c r="H40" s="87"/>
      <c r="I40" s="87"/>
      <c r="J40" s="87"/>
      <c r="K40" s="87"/>
      <c r="L40" s="49"/>
      <c r="N40" s="96"/>
      <c r="O40" s="97"/>
      <c r="P40" s="97"/>
      <c r="Q40" s="98"/>
      <c r="S40" s="54"/>
    </row>
    <row r="41" spans="1:19" ht="30" customHeight="1" thickTop="1" x14ac:dyDescent="0.3">
      <c r="A41" s="59"/>
      <c r="B41" s="38"/>
      <c r="C41" s="38"/>
      <c r="D41" s="63"/>
      <c r="E41" s="63"/>
      <c r="F41" s="63"/>
      <c r="G41" s="63"/>
      <c r="H41" s="63"/>
      <c r="I41" s="63"/>
      <c r="J41" s="63"/>
      <c r="K41" s="63"/>
      <c r="L41" s="63"/>
      <c r="N41" s="64"/>
      <c r="O41" s="64"/>
      <c r="P41" s="62"/>
      <c r="Q41" s="65"/>
      <c r="S41" s="54"/>
    </row>
    <row r="42" spans="1:19" ht="30" customHeight="1" thickBot="1" x14ac:dyDescent="0.45">
      <c r="A42" s="59"/>
      <c r="B42" s="38"/>
      <c r="C42" s="38"/>
      <c r="D42" s="84"/>
      <c r="E42" s="37"/>
      <c r="F42" s="37"/>
      <c r="G42" s="37"/>
      <c r="H42" s="37"/>
      <c r="I42" s="37"/>
      <c r="J42" s="37"/>
      <c r="K42" s="37"/>
      <c r="L42" s="48"/>
      <c r="N42" s="95" t="s">
        <v>22</v>
      </c>
      <c r="O42" s="95"/>
      <c r="P42" s="95"/>
      <c r="Q42" s="65"/>
      <c r="S42" s="54"/>
    </row>
    <row r="43" spans="1:19" ht="30" customHeight="1" thickTop="1" x14ac:dyDescent="0.3">
      <c r="A43" s="59"/>
      <c r="B43" s="38"/>
      <c r="C43" s="88" t="s">
        <v>22</v>
      </c>
      <c r="D43" s="89"/>
      <c r="E43" s="92" t="str">
        <f ca="1">TEXT(E7, "ddd dd/mm")</f>
        <v>Mon 14/12</v>
      </c>
      <c r="F43" s="92" t="str">
        <f t="shared" ref="F43:K43" ca="1" si="2">TEXT(F7, "ddd dd/mm")</f>
        <v>Tue 15/12</v>
      </c>
      <c r="G43" s="92" t="str">
        <f t="shared" ca="1" si="2"/>
        <v>Wed 16/12</v>
      </c>
      <c r="H43" s="92" t="str">
        <f t="shared" ca="1" si="2"/>
        <v>Thu 17/12</v>
      </c>
      <c r="I43" s="92" t="str">
        <f t="shared" ca="1" si="2"/>
        <v>Fri 18/12</v>
      </c>
      <c r="J43" s="92" t="str">
        <f t="shared" ca="1" si="2"/>
        <v>Sat 19/12</v>
      </c>
      <c r="K43" s="92" t="str">
        <f t="shared" ca="1" si="2"/>
        <v>Sun 20/12</v>
      </c>
      <c r="L43" s="39"/>
      <c r="N43" s="96"/>
      <c r="O43" s="97"/>
      <c r="P43" s="97"/>
      <c r="Q43" s="98"/>
      <c r="S43" s="54"/>
    </row>
    <row r="44" spans="1:19" ht="30" customHeight="1" x14ac:dyDescent="0.3">
      <c r="A44" s="59"/>
      <c r="B44" s="38"/>
      <c r="C44" s="90"/>
      <c r="D44" s="91"/>
      <c r="E44" s="93"/>
      <c r="F44" s="93"/>
      <c r="G44" s="93"/>
      <c r="H44" s="93"/>
      <c r="I44" s="93"/>
      <c r="J44" s="93"/>
      <c r="K44" s="93"/>
      <c r="L44" s="41"/>
      <c r="N44" s="96"/>
      <c r="O44" s="97"/>
      <c r="P44" s="97"/>
      <c r="Q44" s="98"/>
      <c r="S44" s="54"/>
    </row>
    <row r="45" spans="1:19" ht="30" customHeight="1" x14ac:dyDescent="0.3">
      <c r="A45" s="59"/>
      <c r="B45" s="38"/>
      <c r="C45" s="42"/>
      <c r="D45" s="43"/>
      <c r="E45" s="86"/>
      <c r="F45" s="86"/>
      <c r="G45" s="86"/>
      <c r="H45" s="86"/>
      <c r="I45" s="86"/>
      <c r="J45" s="86"/>
      <c r="K45" s="86"/>
      <c r="L45" s="66"/>
      <c r="N45" s="96"/>
      <c r="O45" s="97"/>
      <c r="P45" s="97"/>
      <c r="Q45" s="98"/>
      <c r="S45" s="54"/>
    </row>
    <row r="46" spans="1:19" ht="30" customHeight="1" x14ac:dyDescent="0.3">
      <c r="A46" s="59"/>
      <c r="B46" s="38"/>
      <c r="C46" s="42"/>
      <c r="D46" s="43"/>
      <c r="E46" s="86"/>
      <c r="F46" s="86"/>
      <c r="G46" s="86"/>
      <c r="H46" s="86"/>
      <c r="I46" s="86"/>
      <c r="J46" s="86"/>
      <c r="K46" s="86"/>
      <c r="L46" s="44"/>
      <c r="N46" s="96"/>
      <c r="O46" s="97"/>
      <c r="P46" s="97"/>
      <c r="Q46" s="98"/>
      <c r="S46" s="54"/>
    </row>
    <row r="47" spans="1:19" ht="30" customHeight="1" x14ac:dyDescent="0.3">
      <c r="A47" s="59"/>
      <c r="B47" s="38"/>
      <c r="C47" s="42"/>
      <c r="D47" s="43"/>
      <c r="E47" s="86"/>
      <c r="F47" s="86"/>
      <c r="G47" s="86"/>
      <c r="H47" s="86"/>
      <c r="I47" s="86"/>
      <c r="J47" s="86"/>
      <c r="K47" s="86"/>
      <c r="L47" s="45"/>
      <c r="N47" s="96"/>
      <c r="O47" s="97"/>
      <c r="P47" s="97"/>
      <c r="Q47" s="98"/>
      <c r="S47" s="54"/>
    </row>
    <row r="48" spans="1:19" ht="30" customHeight="1" x14ac:dyDescent="0.3">
      <c r="A48" s="59"/>
      <c r="B48" s="38"/>
      <c r="C48" s="42"/>
      <c r="D48" s="43"/>
      <c r="E48" s="86"/>
      <c r="F48" s="86"/>
      <c r="G48" s="86"/>
      <c r="H48" s="86"/>
      <c r="I48" s="86"/>
      <c r="J48" s="86"/>
      <c r="K48" s="86"/>
      <c r="L48" s="44"/>
      <c r="N48" s="96"/>
      <c r="O48" s="97"/>
      <c r="P48" s="97"/>
      <c r="Q48" s="98"/>
      <c r="S48" s="54"/>
    </row>
    <row r="49" spans="1:19" ht="30" customHeight="1" x14ac:dyDescent="0.3">
      <c r="A49" s="59"/>
      <c r="B49" s="38"/>
      <c r="C49" s="42"/>
      <c r="D49" s="43"/>
      <c r="E49" s="86"/>
      <c r="F49" s="86"/>
      <c r="G49" s="86"/>
      <c r="H49" s="86"/>
      <c r="I49" s="86"/>
      <c r="J49" s="86"/>
      <c r="K49" s="86"/>
      <c r="L49" s="45"/>
      <c r="N49" s="96"/>
      <c r="O49" s="97"/>
      <c r="P49" s="97"/>
      <c r="Q49" s="98"/>
      <c r="S49" s="54"/>
    </row>
    <row r="50" spans="1:19" ht="30" customHeight="1" x14ac:dyDescent="0.3">
      <c r="A50" s="59"/>
      <c r="B50" s="38"/>
      <c r="C50" s="42"/>
      <c r="D50" s="43"/>
      <c r="E50" s="86"/>
      <c r="F50" s="86"/>
      <c r="G50" s="86"/>
      <c r="H50" s="86"/>
      <c r="I50" s="86"/>
      <c r="J50" s="86"/>
      <c r="K50" s="86"/>
      <c r="L50" s="44"/>
      <c r="N50" s="96"/>
      <c r="O50" s="97"/>
      <c r="P50" s="97"/>
      <c r="Q50" s="98"/>
      <c r="S50" s="54"/>
    </row>
    <row r="51" spans="1:19" ht="30" customHeight="1" x14ac:dyDescent="0.3">
      <c r="A51" s="59"/>
      <c r="B51" s="38"/>
      <c r="C51" s="42"/>
      <c r="D51" s="43"/>
      <c r="E51" s="86"/>
      <c r="F51" s="86"/>
      <c r="G51" s="86"/>
      <c r="H51" s="86"/>
      <c r="I51" s="86"/>
      <c r="J51" s="86"/>
      <c r="K51" s="86"/>
      <c r="L51" s="45"/>
      <c r="N51" s="96"/>
      <c r="O51" s="97"/>
      <c r="P51" s="97"/>
      <c r="Q51" s="98"/>
      <c r="S51" s="54"/>
    </row>
    <row r="52" spans="1:19" ht="30" customHeight="1" x14ac:dyDescent="0.3">
      <c r="A52" s="59"/>
      <c r="B52" s="38"/>
      <c r="C52" s="42"/>
      <c r="D52" s="43"/>
      <c r="E52" s="86"/>
      <c r="F52" s="86"/>
      <c r="G52" s="86"/>
      <c r="H52" s="86"/>
      <c r="I52" s="86"/>
      <c r="J52" s="86"/>
      <c r="K52" s="86"/>
      <c r="L52" s="46"/>
      <c r="N52" s="96"/>
      <c r="O52" s="97"/>
      <c r="P52" s="97"/>
      <c r="Q52" s="98"/>
      <c r="S52" s="54"/>
    </row>
    <row r="53" spans="1:19" ht="30" customHeight="1" x14ac:dyDescent="0.3">
      <c r="A53" s="59"/>
      <c r="B53" s="38"/>
      <c r="C53" s="42"/>
      <c r="D53" s="43"/>
      <c r="E53" s="86"/>
      <c r="F53" s="86"/>
      <c r="G53" s="86"/>
      <c r="H53" s="86"/>
      <c r="I53" s="86"/>
      <c r="J53" s="86"/>
      <c r="K53" s="86"/>
      <c r="L53" s="46"/>
      <c r="N53" s="96"/>
      <c r="O53" s="97"/>
      <c r="P53" s="97"/>
      <c r="Q53" s="98"/>
      <c r="S53" s="54"/>
    </row>
    <row r="54" spans="1:19" ht="30" customHeight="1" thickBot="1" x14ac:dyDescent="0.35">
      <c r="A54" s="59"/>
      <c r="B54" s="38"/>
      <c r="C54" s="47"/>
      <c r="D54" s="48"/>
      <c r="E54" s="87"/>
      <c r="F54" s="87"/>
      <c r="G54" s="87"/>
      <c r="H54" s="87"/>
      <c r="I54" s="87"/>
      <c r="J54" s="87"/>
      <c r="K54" s="87"/>
      <c r="L54" s="49"/>
      <c r="N54" s="96"/>
      <c r="O54" s="97"/>
      <c r="P54" s="97"/>
      <c r="Q54" s="98"/>
      <c r="S54" s="54"/>
    </row>
    <row r="55" spans="1:19" ht="30" customHeight="1" thickTop="1" x14ac:dyDescent="0.3">
      <c r="A55" s="59"/>
      <c r="B55" s="38"/>
      <c r="C55" s="38"/>
      <c r="D55" s="63"/>
      <c r="E55" s="63"/>
      <c r="F55" s="63"/>
      <c r="G55" s="63"/>
      <c r="H55" s="63"/>
      <c r="I55" s="63"/>
      <c r="J55" s="63"/>
      <c r="K55" s="63"/>
      <c r="L55" s="63"/>
      <c r="N55" s="64"/>
      <c r="O55" s="64"/>
      <c r="P55" s="62"/>
      <c r="Q55" s="65"/>
      <c r="S55" s="54"/>
    </row>
    <row r="56" spans="1:19" ht="30" customHeight="1" thickBot="1" x14ac:dyDescent="0.45">
      <c r="A56" s="59"/>
      <c r="B56" s="38"/>
      <c r="C56" s="38"/>
      <c r="D56" s="84"/>
      <c r="E56" s="63"/>
      <c r="F56" s="63"/>
      <c r="G56" s="63"/>
      <c r="H56" s="63"/>
      <c r="I56" s="63"/>
      <c r="J56" s="63"/>
      <c r="K56" s="63"/>
      <c r="L56" s="63"/>
      <c r="N56" s="95" t="s">
        <v>23</v>
      </c>
      <c r="O56" s="95"/>
      <c r="P56" s="95"/>
      <c r="Q56" s="65"/>
      <c r="S56" s="54"/>
    </row>
    <row r="57" spans="1:19" ht="30" customHeight="1" thickTop="1" x14ac:dyDescent="0.3">
      <c r="A57" s="59"/>
      <c r="B57" s="38"/>
      <c r="C57" s="88" t="s">
        <v>23</v>
      </c>
      <c r="D57" s="89"/>
      <c r="E57" s="92" t="str">
        <f ca="1">TEXT(E8, "ddd dd/mm")</f>
        <v>Mon 21/12</v>
      </c>
      <c r="F57" s="92" t="str">
        <f t="shared" ref="F57:K57" ca="1" si="3">TEXT(F8, "ddd dd/mm")</f>
        <v>Tue 22/12</v>
      </c>
      <c r="G57" s="92" t="str">
        <f t="shared" ca="1" si="3"/>
        <v>Wed 23/12</v>
      </c>
      <c r="H57" s="92" t="str">
        <f t="shared" ca="1" si="3"/>
        <v>Thu 24/12</v>
      </c>
      <c r="I57" s="92" t="str">
        <f t="shared" ca="1" si="3"/>
        <v>Fri 25/12</v>
      </c>
      <c r="J57" s="92" t="str">
        <f t="shared" ca="1" si="3"/>
        <v>Sat 26/12</v>
      </c>
      <c r="K57" s="92" t="str">
        <f t="shared" ca="1" si="3"/>
        <v>Sun 27/12</v>
      </c>
      <c r="L57" s="39"/>
      <c r="N57" s="96"/>
      <c r="O57" s="97"/>
      <c r="P57" s="97"/>
      <c r="Q57" s="98"/>
      <c r="S57" s="54"/>
    </row>
    <row r="58" spans="1:19" ht="30" customHeight="1" x14ac:dyDescent="0.3">
      <c r="A58" s="59"/>
      <c r="B58" s="38"/>
      <c r="C58" s="90"/>
      <c r="D58" s="91"/>
      <c r="E58" s="93"/>
      <c r="F58" s="93"/>
      <c r="G58" s="93"/>
      <c r="H58" s="93"/>
      <c r="I58" s="93"/>
      <c r="J58" s="93"/>
      <c r="K58" s="93"/>
      <c r="L58" s="41"/>
      <c r="N58" s="96"/>
      <c r="O58" s="97"/>
      <c r="P58" s="97"/>
      <c r="Q58" s="98"/>
      <c r="S58" s="54"/>
    </row>
    <row r="59" spans="1:19" ht="30" customHeight="1" x14ac:dyDescent="0.3">
      <c r="A59" s="59"/>
      <c r="B59" s="38"/>
      <c r="C59" s="42"/>
      <c r="D59" s="43"/>
      <c r="E59" s="86"/>
      <c r="F59" s="86"/>
      <c r="G59" s="86"/>
      <c r="H59" s="86"/>
      <c r="I59" s="86"/>
      <c r="J59" s="86"/>
      <c r="K59" s="86"/>
      <c r="L59" s="66"/>
      <c r="N59" s="96"/>
      <c r="O59" s="97"/>
      <c r="P59" s="97"/>
      <c r="Q59" s="98"/>
      <c r="S59" s="54"/>
    </row>
    <row r="60" spans="1:19" ht="30" customHeight="1" x14ac:dyDescent="0.3">
      <c r="A60" s="59"/>
      <c r="B60" s="38"/>
      <c r="C60" s="42"/>
      <c r="D60" s="43"/>
      <c r="E60" s="86"/>
      <c r="F60" s="86"/>
      <c r="G60" s="86"/>
      <c r="H60" s="86"/>
      <c r="I60" s="86"/>
      <c r="J60" s="86"/>
      <c r="K60" s="86"/>
      <c r="L60" s="44"/>
      <c r="N60" s="96"/>
      <c r="O60" s="97"/>
      <c r="P60" s="97"/>
      <c r="Q60" s="98"/>
      <c r="S60" s="54"/>
    </row>
    <row r="61" spans="1:19" ht="30" customHeight="1" x14ac:dyDescent="0.3">
      <c r="A61" s="59"/>
      <c r="B61" s="38"/>
      <c r="C61" s="42"/>
      <c r="D61" s="43"/>
      <c r="E61" s="86"/>
      <c r="F61" s="86"/>
      <c r="G61" s="86"/>
      <c r="H61" s="86"/>
      <c r="I61" s="86"/>
      <c r="J61" s="86"/>
      <c r="K61" s="86"/>
      <c r="L61" s="45"/>
      <c r="N61" s="96"/>
      <c r="O61" s="97"/>
      <c r="P61" s="97"/>
      <c r="Q61" s="98"/>
      <c r="S61" s="54"/>
    </row>
    <row r="62" spans="1:19" ht="30" customHeight="1" x14ac:dyDescent="0.3">
      <c r="A62" s="59"/>
      <c r="B62" s="38"/>
      <c r="C62" s="42"/>
      <c r="D62" s="43"/>
      <c r="E62" s="86"/>
      <c r="F62" s="86"/>
      <c r="G62" s="86"/>
      <c r="H62" s="86"/>
      <c r="I62" s="86"/>
      <c r="J62" s="86"/>
      <c r="K62" s="86"/>
      <c r="L62" s="44"/>
      <c r="N62" s="96"/>
      <c r="O62" s="97"/>
      <c r="P62" s="97"/>
      <c r="Q62" s="98"/>
      <c r="S62" s="54"/>
    </row>
    <row r="63" spans="1:19" ht="30" customHeight="1" x14ac:dyDescent="0.3">
      <c r="A63" s="59"/>
      <c r="B63" s="38"/>
      <c r="C63" s="42"/>
      <c r="D63" s="43"/>
      <c r="E63" s="86"/>
      <c r="F63" s="86"/>
      <c r="G63" s="86"/>
      <c r="H63" s="86"/>
      <c r="I63" s="86"/>
      <c r="J63" s="86"/>
      <c r="K63" s="86"/>
      <c r="L63" s="45"/>
      <c r="N63" s="96"/>
      <c r="O63" s="97"/>
      <c r="P63" s="97"/>
      <c r="Q63" s="98"/>
      <c r="S63" s="54"/>
    </row>
    <row r="64" spans="1:19" ht="30" customHeight="1" x14ac:dyDescent="0.3">
      <c r="A64" s="59"/>
      <c r="B64" s="38"/>
      <c r="C64" s="42"/>
      <c r="D64" s="43"/>
      <c r="E64" s="86"/>
      <c r="F64" s="86"/>
      <c r="G64" s="86"/>
      <c r="H64" s="86"/>
      <c r="I64" s="86"/>
      <c r="J64" s="86"/>
      <c r="K64" s="86"/>
      <c r="L64" s="44"/>
      <c r="N64" s="96"/>
      <c r="O64" s="97"/>
      <c r="P64" s="97"/>
      <c r="Q64" s="98"/>
      <c r="S64" s="54"/>
    </row>
    <row r="65" spans="1:21" ht="30" customHeight="1" x14ac:dyDescent="0.3">
      <c r="A65" s="59"/>
      <c r="B65" s="38"/>
      <c r="C65" s="42"/>
      <c r="D65" s="43"/>
      <c r="E65" s="86"/>
      <c r="F65" s="86"/>
      <c r="G65" s="86"/>
      <c r="H65" s="86"/>
      <c r="I65" s="86"/>
      <c r="J65" s="86"/>
      <c r="K65" s="86"/>
      <c r="L65" s="45"/>
      <c r="N65" s="96"/>
      <c r="O65" s="97"/>
      <c r="P65" s="97"/>
      <c r="Q65" s="98"/>
      <c r="S65" s="54"/>
    </row>
    <row r="66" spans="1:21" ht="30" customHeight="1" x14ac:dyDescent="0.3">
      <c r="A66" s="59"/>
      <c r="B66" s="38"/>
      <c r="C66" s="42"/>
      <c r="D66" s="43"/>
      <c r="E66" s="86"/>
      <c r="F66" s="86"/>
      <c r="G66" s="86"/>
      <c r="H66" s="86"/>
      <c r="I66" s="86"/>
      <c r="J66" s="86"/>
      <c r="K66" s="86"/>
      <c r="L66" s="46"/>
      <c r="N66" s="96"/>
      <c r="O66" s="97"/>
      <c r="P66" s="97"/>
      <c r="Q66" s="98"/>
      <c r="S66" s="54"/>
    </row>
    <row r="67" spans="1:21" ht="30" customHeight="1" x14ac:dyDescent="0.3">
      <c r="A67" s="59"/>
      <c r="B67" s="38"/>
      <c r="C67" s="42"/>
      <c r="D67" s="43"/>
      <c r="E67" s="86"/>
      <c r="F67" s="86"/>
      <c r="G67" s="86"/>
      <c r="H67" s="86"/>
      <c r="I67" s="86"/>
      <c r="J67" s="86"/>
      <c r="K67" s="86"/>
      <c r="L67" s="46"/>
      <c r="N67" s="96"/>
      <c r="O67" s="97"/>
      <c r="P67" s="97"/>
      <c r="Q67" s="98"/>
      <c r="S67" s="54"/>
    </row>
    <row r="68" spans="1:21" ht="30" customHeight="1" thickBot="1" x14ac:dyDescent="0.35">
      <c r="A68" s="59"/>
      <c r="B68" s="38"/>
      <c r="C68" s="47"/>
      <c r="D68" s="48"/>
      <c r="E68" s="87"/>
      <c r="F68" s="87"/>
      <c r="G68" s="87"/>
      <c r="H68" s="87"/>
      <c r="I68" s="87"/>
      <c r="J68" s="87"/>
      <c r="K68" s="87"/>
      <c r="L68" s="49"/>
      <c r="N68" s="96"/>
      <c r="O68" s="97"/>
      <c r="P68" s="97"/>
      <c r="Q68" s="98"/>
      <c r="S68" s="54"/>
    </row>
    <row r="69" spans="1:21" ht="30" customHeight="1" thickTop="1" x14ac:dyDescent="0.3">
      <c r="A69" s="59"/>
      <c r="B69" s="38"/>
      <c r="C69" s="38"/>
      <c r="D69" s="63"/>
      <c r="E69" s="63"/>
      <c r="F69" s="63"/>
      <c r="G69" s="63"/>
      <c r="H69" s="63"/>
      <c r="I69" s="63"/>
      <c r="J69" s="63"/>
      <c r="K69" s="63"/>
      <c r="L69" s="63"/>
      <c r="N69" s="64"/>
      <c r="O69" s="64"/>
      <c r="P69" s="62"/>
      <c r="Q69" s="65"/>
      <c r="S69" s="54"/>
    </row>
    <row r="70" spans="1:21" ht="30" customHeight="1" thickBot="1" x14ac:dyDescent="0.45">
      <c r="A70" s="59"/>
      <c r="B70" s="38"/>
      <c r="C70" s="38"/>
      <c r="D70" s="84"/>
      <c r="E70" s="63"/>
      <c r="F70" s="63"/>
      <c r="G70" s="63"/>
      <c r="H70" s="63"/>
      <c r="I70" s="63"/>
      <c r="J70" s="63"/>
      <c r="K70" s="63"/>
      <c r="L70" s="63"/>
      <c r="N70" s="95" t="s">
        <v>24</v>
      </c>
      <c r="O70" s="95"/>
      <c r="P70" s="95"/>
      <c r="Q70" s="65"/>
      <c r="S70" s="54"/>
    </row>
    <row r="71" spans="1:21" ht="30" customHeight="1" thickTop="1" x14ac:dyDescent="0.3">
      <c r="A71" s="59"/>
      <c r="B71" s="38"/>
      <c r="C71" s="88" t="s">
        <v>24</v>
      </c>
      <c r="D71" s="89"/>
      <c r="E71" s="92" t="str">
        <f ca="1">TEXT(E9, "ddd dd/mm")</f>
        <v>Mon 28/12</v>
      </c>
      <c r="F71" s="92" t="str">
        <f t="shared" ref="F71:H71" ca="1" si="4">TEXT(F9, "ddd dd/mm")</f>
        <v>Tue 29/12</v>
      </c>
      <c r="G71" s="92" t="str">
        <f t="shared" ca="1" si="4"/>
        <v>Wed 30/12</v>
      </c>
      <c r="H71" s="92" t="str">
        <f t="shared" ca="1" si="4"/>
        <v>Thu 31/12</v>
      </c>
      <c r="I71" s="79"/>
      <c r="J71" s="79"/>
      <c r="K71" s="79"/>
      <c r="L71" s="39"/>
      <c r="N71" s="96"/>
      <c r="O71" s="97"/>
      <c r="P71" s="97"/>
      <c r="Q71" s="98"/>
      <c r="S71" s="54"/>
    </row>
    <row r="72" spans="1:21" ht="30" customHeight="1" x14ac:dyDescent="0.3">
      <c r="A72" s="59"/>
      <c r="B72" s="38"/>
      <c r="C72" s="90"/>
      <c r="D72" s="91"/>
      <c r="E72" s="93"/>
      <c r="F72" s="93"/>
      <c r="G72" s="93"/>
      <c r="H72" s="93"/>
      <c r="I72" s="80"/>
      <c r="J72" s="80"/>
      <c r="K72" s="80"/>
      <c r="L72" s="41"/>
      <c r="N72" s="96"/>
      <c r="O72" s="97"/>
      <c r="P72" s="97"/>
      <c r="Q72" s="98"/>
      <c r="R72" s="3"/>
      <c r="S72" s="54"/>
      <c r="T72" s="3"/>
      <c r="U72" s="3"/>
    </row>
    <row r="73" spans="1:21" ht="30" customHeight="1" x14ac:dyDescent="0.3">
      <c r="A73" s="59"/>
      <c r="B73" s="38"/>
      <c r="C73" s="42"/>
      <c r="D73" s="43"/>
      <c r="E73" s="86"/>
      <c r="F73" s="86"/>
      <c r="G73" s="86"/>
      <c r="H73" s="86"/>
      <c r="I73" s="86"/>
      <c r="J73" s="86"/>
      <c r="K73" s="86"/>
      <c r="L73" s="66"/>
      <c r="N73" s="96"/>
      <c r="O73" s="97"/>
      <c r="P73" s="97"/>
      <c r="Q73" s="98"/>
      <c r="S73" s="54"/>
    </row>
    <row r="74" spans="1:21" ht="30" customHeight="1" x14ac:dyDescent="0.3">
      <c r="A74" s="59"/>
      <c r="B74" s="38"/>
      <c r="C74" s="42"/>
      <c r="D74" s="43"/>
      <c r="E74" s="86"/>
      <c r="F74" s="86"/>
      <c r="G74" s="86"/>
      <c r="H74" s="86"/>
      <c r="I74" s="86"/>
      <c r="J74" s="86"/>
      <c r="K74" s="86"/>
      <c r="L74" s="44"/>
      <c r="N74" s="96"/>
      <c r="O74" s="97"/>
      <c r="P74" s="97"/>
      <c r="Q74" s="98"/>
      <c r="S74" s="54"/>
    </row>
    <row r="75" spans="1:21" ht="30" customHeight="1" x14ac:dyDescent="0.3">
      <c r="A75" s="59"/>
      <c r="B75" s="38"/>
      <c r="C75" s="42"/>
      <c r="D75" s="43"/>
      <c r="E75" s="86"/>
      <c r="F75" s="86"/>
      <c r="G75" s="86"/>
      <c r="H75" s="86"/>
      <c r="I75" s="86"/>
      <c r="J75" s="86"/>
      <c r="K75" s="86"/>
      <c r="L75" s="45"/>
      <c r="N75" s="96"/>
      <c r="O75" s="97"/>
      <c r="P75" s="97"/>
      <c r="Q75" s="98"/>
      <c r="S75" s="54"/>
    </row>
    <row r="76" spans="1:21" ht="30" customHeight="1" x14ac:dyDescent="0.3">
      <c r="A76" s="59"/>
      <c r="B76" s="38"/>
      <c r="C76" s="42"/>
      <c r="D76" s="43"/>
      <c r="E76" s="86"/>
      <c r="F76" s="86"/>
      <c r="G76" s="86"/>
      <c r="H76" s="86"/>
      <c r="I76" s="86"/>
      <c r="J76" s="86"/>
      <c r="K76" s="86"/>
      <c r="L76" s="44"/>
      <c r="N76" s="96"/>
      <c r="O76" s="97"/>
      <c r="P76" s="97"/>
      <c r="Q76" s="98"/>
      <c r="S76" s="54"/>
    </row>
    <row r="77" spans="1:21" ht="30" customHeight="1" x14ac:dyDescent="0.3">
      <c r="A77" s="59"/>
      <c r="B77" s="38"/>
      <c r="C77" s="42"/>
      <c r="D77" s="43"/>
      <c r="E77" s="86"/>
      <c r="F77" s="86"/>
      <c r="G77" s="86"/>
      <c r="H77" s="86"/>
      <c r="I77" s="86"/>
      <c r="J77" s="86"/>
      <c r="K77" s="86"/>
      <c r="L77" s="45"/>
      <c r="N77" s="96"/>
      <c r="O77" s="97"/>
      <c r="P77" s="97"/>
      <c r="Q77" s="98"/>
      <c r="S77" s="54"/>
    </row>
    <row r="78" spans="1:21" ht="30" customHeight="1" x14ac:dyDescent="0.3">
      <c r="A78" s="59"/>
      <c r="B78" s="38"/>
      <c r="C78" s="42"/>
      <c r="D78" s="43"/>
      <c r="E78" s="86"/>
      <c r="F78" s="86"/>
      <c r="G78" s="86"/>
      <c r="H78" s="86"/>
      <c r="I78" s="86"/>
      <c r="J78" s="86"/>
      <c r="K78" s="86"/>
      <c r="L78" s="44"/>
      <c r="N78" s="96"/>
      <c r="O78" s="97"/>
      <c r="P78" s="97"/>
      <c r="Q78" s="98"/>
      <c r="S78" s="54"/>
    </row>
    <row r="79" spans="1:21" ht="30" customHeight="1" x14ac:dyDescent="0.3">
      <c r="A79" s="59"/>
      <c r="B79" s="38"/>
      <c r="C79" s="42"/>
      <c r="D79" s="43"/>
      <c r="E79" s="86"/>
      <c r="F79" s="86"/>
      <c r="G79" s="86"/>
      <c r="H79" s="86"/>
      <c r="I79" s="86"/>
      <c r="J79" s="86"/>
      <c r="K79" s="86"/>
      <c r="L79" s="45"/>
      <c r="N79" s="96"/>
      <c r="O79" s="97"/>
      <c r="P79" s="97"/>
      <c r="Q79" s="98"/>
      <c r="S79" s="54"/>
    </row>
    <row r="80" spans="1:21" ht="30" customHeight="1" x14ac:dyDescent="0.3">
      <c r="A80" s="59"/>
      <c r="B80" s="38"/>
      <c r="C80" s="42"/>
      <c r="D80" s="43"/>
      <c r="E80" s="86"/>
      <c r="F80" s="86"/>
      <c r="G80" s="86"/>
      <c r="H80" s="86"/>
      <c r="I80" s="86"/>
      <c r="J80" s="86"/>
      <c r="K80" s="86"/>
      <c r="L80" s="46"/>
      <c r="N80" s="96"/>
      <c r="O80" s="97"/>
      <c r="P80" s="97"/>
      <c r="Q80" s="98"/>
      <c r="S80" s="54"/>
    </row>
    <row r="81" spans="1:19" ht="30" customHeight="1" x14ac:dyDescent="0.3">
      <c r="A81" s="59"/>
      <c r="B81" s="38"/>
      <c r="C81" s="42"/>
      <c r="D81" s="43"/>
      <c r="E81" s="86"/>
      <c r="F81" s="86"/>
      <c r="G81" s="86"/>
      <c r="H81" s="86"/>
      <c r="I81" s="86"/>
      <c r="J81" s="86"/>
      <c r="K81" s="86"/>
      <c r="L81" s="46"/>
      <c r="N81" s="96"/>
      <c r="O81" s="97"/>
      <c r="P81" s="97"/>
      <c r="Q81" s="98"/>
      <c r="S81" s="54"/>
    </row>
    <row r="82" spans="1:19" ht="30" customHeight="1" thickBot="1" x14ac:dyDescent="0.35">
      <c r="A82" s="59"/>
      <c r="B82" s="38"/>
      <c r="C82" s="47"/>
      <c r="D82" s="48"/>
      <c r="E82" s="87"/>
      <c r="F82" s="87"/>
      <c r="G82" s="87"/>
      <c r="H82" s="87"/>
      <c r="I82" s="87"/>
      <c r="J82" s="87"/>
      <c r="K82" s="87"/>
      <c r="L82" s="49"/>
      <c r="N82" s="96"/>
      <c r="O82" s="97"/>
      <c r="P82" s="97"/>
      <c r="Q82" s="98"/>
      <c r="S82" s="54"/>
    </row>
    <row r="83" spans="1:19" ht="30" customHeight="1" thickTop="1" x14ac:dyDescent="0.3">
      <c r="A83" s="59"/>
      <c r="B83" s="38"/>
      <c r="C83" s="38"/>
      <c r="D83" s="63"/>
      <c r="E83" s="63"/>
      <c r="F83" s="63"/>
      <c r="G83" s="63"/>
      <c r="H83" s="63"/>
      <c r="I83" s="63"/>
      <c r="J83" s="63"/>
      <c r="K83" s="63"/>
      <c r="L83" s="63"/>
      <c r="N83" s="64"/>
      <c r="O83" s="64"/>
      <c r="P83" s="62"/>
      <c r="Q83" s="65"/>
      <c r="S83" s="54"/>
    </row>
    <row r="84" spans="1:19" ht="30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6"/>
      <c r="O84" s="56"/>
      <c r="P84" s="54"/>
      <c r="Q84" s="57"/>
      <c r="R84" s="54"/>
      <c r="S84" s="54"/>
    </row>
  </sheetData>
  <sheetProtection sheet="1" objects="1" scenarios="1" selectLockedCells="1"/>
  <dataConsolidate/>
  <mergeCells count="102">
    <mergeCell ref="C57:D58"/>
    <mergeCell ref="C71:D72"/>
    <mergeCell ref="N25:Q25"/>
    <mergeCell ref="N26:Q26"/>
    <mergeCell ref="C15:D16"/>
    <mergeCell ref="C29:D30"/>
    <mergeCell ref="C43:D44"/>
    <mergeCell ref="N20:Q20"/>
    <mergeCell ref="N21:Q21"/>
    <mergeCell ref="N22:Q22"/>
    <mergeCell ref="N23:Q23"/>
    <mergeCell ref="N24:Q24"/>
    <mergeCell ref="N15:Q15"/>
    <mergeCell ref="N16:Q16"/>
    <mergeCell ref="N17:Q17"/>
    <mergeCell ref="N18:Q18"/>
    <mergeCell ref="N19:Q19"/>
    <mergeCell ref="N53:Q53"/>
    <mergeCell ref="N54:Q54"/>
    <mergeCell ref="N29:Q29"/>
    <mergeCell ref="N30:Q30"/>
    <mergeCell ref="N31:Q31"/>
    <mergeCell ref="N32:Q32"/>
    <mergeCell ref="N33:Q33"/>
    <mergeCell ref="N44:Q44"/>
    <mergeCell ref="N45:Q45"/>
    <mergeCell ref="N46:Q46"/>
    <mergeCell ref="N47:Q47"/>
    <mergeCell ref="N81:Q81"/>
    <mergeCell ref="N34:Q34"/>
    <mergeCell ref="N35:Q35"/>
    <mergeCell ref="N36:Q36"/>
    <mergeCell ref="N37:Q37"/>
    <mergeCell ref="N38:Q38"/>
    <mergeCell ref="N39:Q39"/>
    <mergeCell ref="N40:Q40"/>
    <mergeCell ref="N48:Q48"/>
    <mergeCell ref="N49:Q49"/>
    <mergeCell ref="N82:Q82"/>
    <mergeCell ref="N57:Q57"/>
    <mergeCell ref="N58:Q58"/>
    <mergeCell ref="N59:Q59"/>
    <mergeCell ref="N60:Q60"/>
    <mergeCell ref="N61:Q61"/>
    <mergeCell ref="N62:Q62"/>
    <mergeCell ref="N63:Q63"/>
    <mergeCell ref="N64:Q64"/>
    <mergeCell ref="N65:Q65"/>
    <mergeCell ref="N66:Q66"/>
    <mergeCell ref="N67:Q67"/>
    <mergeCell ref="N68:Q68"/>
    <mergeCell ref="N76:Q76"/>
    <mergeCell ref="N77:Q77"/>
    <mergeCell ref="N78:Q78"/>
    <mergeCell ref="N79:Q79"/>
    <mergeCell ref="N80:Q80"/>
    <mergeCell ref="N71:Q71"/>
    <mergeCell ref="N72:Q72"/>
    <mergeCell ref="N73:Q73"/>
    <mergeCell ref="N74:Q74"/>
    <mergeCell ref="N75:Q75"/>
    <mergeCell ref="N70:P70"/>
    <mergeCell ref="F15:F16"/>
    <mergeCell ref="G15:G16"/>
    <mergeCell ref="H15:H16"/>
    <mergeCell ref="D5:D6"/>
    <mergeCell ref="N14:P14"/>
    <mergeCell ref="N28:P28"/>
    <mergeCell ref="N42:P42"/>
    <mergeCell ref="N56:P56"/>
    <mergeCell ref="E29:E30"/>
    <mergeCell ref="F29:F30"/>
    <mergeCell ref="G29:G30"/>
    <mergeCell ref="H29:H30"/>
    <mergeCell ref="I29:I30"/>
    <mergeCell ref="I43:I44"/>
    <mergeCell ref="J43:J44"/>
    <mergeCell ref="I15:I16"/>
    <mergeCell ref="J15:J16"/>
    <mergeCell ref="K15:K16"/>
    <mergeCell ref="J29:J30"/>
    <mergeCell ref="K29:K30"/>
    <mergeCell ref="N50:Q50"/>
    <mergeCell ref="N51:Q51"/>
    <mergeCell ref="N52:Q52"/>
    <mergeCell ref="N43:Q43"/>
    <mergeCell ref="E71:E72"/>
    <mergeCell ref="F71:F72"/>
    <mergeCell ref="G71:G72"/>
    <mergeCell ref="H71:H72"/>
    <mergeCell ref="K43:K44"/>
    <mergeCell ref="E57:E58"/>
    <mergeCell ref="F57:F58"/>
    <mergeCell ref="G57:G58"/>
    <mergeCell ref="H57:H58"/>
    <mergeCell ref="I57:I58"/>
    <mergeCell ref="J57:J58"/>
    <mergeCell ref="K57:K58"/>
    <mergeCell ref="E43:E44"/>
    <mergeCell ref="F43:F44"/>
    <mergeCell ref="G43:G44"/>
    <mergeCell ref="H43:H44"/>
  </mergeCells>
  <conditionalFormatting sqref="D17:K25">
    <cfRule type="expression" dxfId="18" priority="5">
      <formula>D17&lt;&gt;""</formula>
    </cfRule>
  </conditionalFormatting>
  <conditionalFormatting sqref="D26:K27">
    <cfRule type="expression" dxfId="17" priority="15">
      <formula>COLUMN(#REF!)&gt;2</formula>
    </cfRule>
  </conditionalFormatting>
  <conditionalFormatting sqref="D31:K39">
    <cfRule type="expression" dxfId="16" priority="4">
      <formula>D31&lt;&gt;""</formula>
    </cfRule>
  </conditionalFormatting>
  <conditionalFormatting sqref="D40:K41">
    <cfRule type="expression" dxfId="15" priority="13">
      <formula>COLUMN(#REF!)&gt;2</formula>
    </cfRule>
  </conditionalFormatting>
  <conditionalFormatting sqref="D45:K53">
    <cfRule type="expression" dxfId="14" priority="3">
      <formula>D45&lt;&gt;""</formula>
    </cfRule>
  </conditionalFormatting>
  <conditionalFormatting sqref="D54:K55">
    <cfRule type="expression" dxfId="13" priority="11">
      <formula>COLUMN(#REF!)&gt;2</formula>
    </cfRule>
  </conditionalFormatting>
  <conditionalFormatting sqref="D59:K67">
    <cfRule type="expression" dxfId="12" priority="2">
      <formula>D59&lt;&gt;""</formula>
    </cfRule>
  </conditionalFormatting>
  <conditionalFormatting sqref="D68:K69">
    <cfRule type="expression" dxfId="11" priority="9">
      <formula>COLUMN(#REF!)&gt;2</formula>
    </cfRule>
  </conditionalFormatting>
  <conditionalFormatting sqref="D73:K81">
    <cfRule type="expression" dxfId="10" priority="1">
      <formula>D73&lt;&gt;""</formula>
    </cfRule>
  </conditionalFormatting>
  <conditionalFormatting sqref="D82:K83">
    <cfRule type="expression" dxfId="9" priority="7">
      <formula>COLUMN(#REF!)&gt;2</formula>
    </cfRule>
  </conditionalFormatting>
  <conditionalFormatting sqref="E5:J5">
    <cfRule type="expression" dxfId="8" priority="18" stopIfTrue="1">
      <formula>DAY(E5)&gt;8</formula>
    </cfRule>
  </conditionalFormatting>
  <conditionalFormatting sqref="E4:K10">
    <cfRule type="timePeriod" dxfId="7" priority="16" timePeriod="thisWeek">
      <formula>AND(TODAY()-ROUNDDOWN(E4,0)&lt;=WEEKDAY(TODAY())-1,ROUNDDOWN(E4,0)-TODAY()&lt;=7-WEEKDAY(TODAY()))</formula>
    </cfRule>
  </conditionalFormatting>
  <conditionalFormatting sqref="E5:K10">
    <cfRule type="expression" dxfId="6" priority="19">
      <formula>VLOOKUP(DAY(E5),$O:$O,1,FALSE)=DAY(E5)</formula>
    </cfRule>
  </conditionalFormatting>
  <conditionalFormatting sqref="E9:K10">
    <cfRule type="expression" dxfId="5" priority="17" stopIfTrue="1">
      <formula>AND(DAY(E9)&gt;=1,DAY(E9)&lt;=15)</formula>
    </cfRule>
  </conditionalFormatting>
  <conditionalFormatting sqref="E56:K56 E70:K70">
    <cfRule type="expression" dxfId="4" priority="40">
      <formula>COLUMN(#REF!)&gt;2</formula>
    </cfRule>
  </conditionalFormatting>
  <conditionalFormatting sqref="M6:M11">
    <cfRule type="expression" dxfId="3" priority="39">
      <formula>VLOOKUP(DAY(M6),AssignmentDays,1,FALSE)=DAY(M6)</formula>
    </cfRule>
  </conditionalFormatting>
  <conditionalFormatting sqref="M10:M11">
    <cfRule type="expression" dxfId="2" priority="38" stopIfTrue="1">
      <formula>AND(DAY(M10)&gt;=1,DAY(M10)&lt;=15)</formula>
    </cfRule>
  </conditionalFormatting>
  <conditionalFormatting sqref="R72 T72:U72">
    <cfRule type="expression" dxfId="1" priority="28" stopIfTrue="1">
      <formula>AND(DAY(R72)&gt;=1,DAY(R72)&lt;=15)</formula>
    </cfRule>
    <cfRule type="expression" dxfId="0" priority="37">
      <formula>VLOOKUP(DAY(R72),$O:$O,1,FALSE)=DAY(R72)</formula>
    </cfRule>
  </conditionalFormatting>
  <dataValidations count="10">
    <dataValidation allowBlank="1" showInputMessage="1" showErrorMessage="1" prompt="March calendar. Calendar year is automatically updated based on cell D5 in Jan sheet." sqref="A1" xr:uid="{513EEF51-99E4-42CF-85C8-345E5E26B053}"/>
    <dataValidation allowBlank="1" showInputMessage="1" showErrorMessage="1" prompt="Cells E4:K4 contain weekdays" sqref="E4" xr:uid="{427036F1-F39C-4308-9E39-3F995C87C804}"/>
    <dataValidation allowBlank="1" showInputMessage="1" showErrorMessage="1" prompt="If this cell doesn’t contain the number 1, then it is a day from a previous month. Cells E5:K10 contain dates for the current month" sqref="E5" xr:uid="{3D42D19A-0DEB-42DF-BF41-F8551DF734A1}"/>
    <dataValidation allowBlank="1" showInputMessage="1" showErrorMessage="1" prompt="Enter the assignment details in this column that correspond to the weekday in column N and day in column O for the calendar month at left" sqref="N4" xr:uid="{F8031203-B004-4DEA-B98C-E63065A0E32D}"/>
    <dataValidation allowBlank="1" showInputMessage="1" showErrorMessage="1" prompt="Calendar automatically highlights assignment list entries for the month. Darker fonts are assignments. Lighter fonts are days that belong to the previous or next month" sqref="D4" xr:uid="{8E687F43-01F9-42B6-8B25-DA1A5F203676}"/>
    <dataValidation allowBlank="1" showInputMessage="1" showErrorMessage="1" prompt="Calendar year is automatically updated in this cell. To change the calendar year, to go cell D5 in Jan worksheet." sqref="D5:D6" xr:uid="{82C1B69F-D27B-4B06-8565-83F76114E71D}"/>
    <dataValidation allowBlank="1" showInputMessage="1" showErrorMessage="1" prompt="Day of the week goes in this row, starting in cell D16" sqref="A29 A15" xr:uid="{C135069E-695E-49EA-ABB0-26DEE4E7E53E}"/>
    <dataValidation allowBlank="1" showInputMessage="1" showErrorMessage="1" prompt="Weekdays are in this row, from Monday to Friday" sqref="C57 C43 C15 E15:K15 E29:K29 C29 C71" xr:uid="{557ABA2A-5044-4CFB-9F4E-50645CD3425B}"/>
    <dataValidation allowBlank="1" showInputMessage="1" showErrorMessage="1" prompt="If this row contains a number less than the previous number or row of numbers, then this row contains dates for the next calendar month" sqref="E10" xr:uid="{AED323C3-E929-4FE7-83A2-4F8370F773B5}"/>
    <dataValidation allowBlank="1" showInputMessage="1" showErrorMessage="1" prompt="Enter the time of your class and under it, in a new row, the class name for each weekday in columns D to K. Repeat this pattern for all classes in subsequent rows" sqref="D13" xr:uid="{8C9779E3-719D-4DB5-812B-0FD5D4BB72A9}"/>
  </dataValidations>
  <printOptions horizontalCentered="1" verticalCentered="1"/>
  <pageMargins left="0.25" right="0.25" top="0.5" bottom="0.5" header="0.3" footer="0.3"/>
  <pageSetup scale="21" orientation="landscape" r:id="rId1"/>
  <rowBreaks count="1" manualBreakCount="1">
    <brk id="1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30" ma:contentTypeDescription="Create a new document." ma:contentTypeScope="" ma:versionID="cec0622158e8f13124e9e8fd4de31bd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52f30ab005d15df08657af532e6e3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hidden="true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hidden="tru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hidden="true" ma:internalName="Background" ma:readOnly="false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09DB7574-3498-4F1F-A21C-D854B01817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7A2AB3-50C4-4210-8315-C363070EAE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BBAE84-78CD-4C59-8224-9303581FA85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TM03107663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 26</vt:lpstr>
      <vt:lpstr>Feb 26</vt:lpstr>
      <vt:lpstr>Mar 26</vt:lpstr>
      <vt:lpstr>April 26</vt:lpstr>
      <vt:lpstr>May 26</vt:lpstr>
      <vt:lpstr>June 26</vt:lpstr>
      <vt:lpstr>July 26</vt:lpstr>
      <vt:lpstr>Aug 26</vt:lpstr>
      <vt:lpstr>Sep 26</vt:lpstr>
      <vt:lpstr>Oct 26</vt:lpstr>
      <vt:lpstr>Nov 26</vt:lpstr>
      <vt:lpstr>Dec 26</vt:lpstr>
      <vt:lpstr>CalendarYear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2023-08-30T09:30:11Z</dcterms:created>
  <dcterms:modified xsi:type="dcterms:W3CDTF">2026-02-27T22:04:01Z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